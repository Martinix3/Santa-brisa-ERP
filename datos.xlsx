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Hoja 1" sheetId="2" r:id="rId5"/>
    <sheet state="visible" name="accounts" sheetId="3" r:id="rId6"/>
    <sheet state="visible" name="party" sheetId="4" r:id="rId7"/>
    <sheet state="visible" name="users" sheetId="5" r:id="rId8"/>
  </sheets>
  <definedNames/>
  <calcPr/>
</workbook>
</file>

<file path=xl/sharedStrings.xml><?xml version="1.0" encoding="utf-8"?>
<sst xmlns="http://schemas.openxmlformats.org/spreadsheetml/2006/main" count="3860" uniqueCount="654">
  <si>
    <t>ID</t>
  </si>
  <si>
    <t>accoutid</t>
  </si>
  <si>
    <t>CLIENTE</t>
  </si>
  <si>
    <t>FECHA</t>
  </si>
  <si>
    <t>TOTAL</t>
  </si>
  <si>
    <t>ESTADO</t>
  </si>
  <si>
    <t>FLOW</t>
  </si>
  <si>
    <t>CANAL</t>
  </si>
  <si>
    <t>CAJAS</t>
  </si>
  <si>
    <t>DIR-#1003</t>
  </si>
  <si>
    <t>Venta Online</t>
  </si>
  <si>
    <t>47.99</t>
  </si>
  <si>
    <t>paid</t>
  </si>
  <si>
    <t>DIRECT</t>
  </si>
  <si>
    <t>ONLINE</t>
  </si>
  <si>
    <t>0.0</t>
  </si>
  <si>
    <t>DIR-nan</t>
  </si>
  <si>
    <t>Ingo Gestión de activos</t>
  </si>
  <si>
    <t>288.0</t>
  </si>
  <si>
    <t>PRIVADA</t>
  </si>
  <si>
    <t>6.0</t>
  </si>
  <si>
    <t>480.0</t>
  </si>
  <si>
    <t>10.0</t>
  </si>
  <si>
    <t>DIR-#1005</t>
  </si>
  <si>
    <t>175.25</t>
  </si>
  <si>
    <t>2.0</t>
  </si>
  <si>
    <t>960.0</t>
  </si>
  <si>
    <t>20.0</t>
  </si>
  <si>
    <t>DIR-#1007</t>
  </si>
  <si>
    <t>124.37</t>
  </si>
  <si>
    <t>1.0</t>
  </si>
  <si>
    <t>54.5</t>
  </si>
  <si>
    <t>DIR-#1008</t>
  </si>
  <si>
    <t>105.6</t>
  </si>
  <si>
    <t>DIR-#1009</t>
  </si>
  <si>
    <t>144.0</t>
  </si>
  <si>
    <t>DIR-#1010</t>
  </si>
  <si>
    <t>132.0</t>
  </si>
  <si>
    <t>DIR-#1011</t>
  </si>
  <si>
    <t>DIR-#1012</t>
  </si>
  <si>
    <t>264.0</t>
  </si>
  <si>
    <t>DIR-#1013</t>
  </si>
  <si>
    <t>528.0</t>
  </si>
  <si>
    <t>5.0</t>
  </si>
  <si>
    <t>DIR-#1014</t>
  </si>
  <si>
    <t>DIR-#1015</t>
  </si>
  <si>
    <t>120.0</t>
  </si>
  <si>
    <t>DIR-#1016</t>
  </si>
  <si>
    <t>DIR-#1017</t>
  </si>
  <si>
    <t>Quirites Inmobiliaria</t>
  </si>
  <si>
    <t>414.0</t>
  </si>
  <si>
    <t>DIR-#1018</t>
  </si>
  <si>
    <t>66.0</t>
  </si>
  <si>
    <t>DIR-#1019</t>
  </si>
  <si>
    <t>DIR-#1020</t>
  </si>
  <si>
    <t>DIR-#1021</t>
  </si>
  <si>
    <t>DIR-#1022</t>
  </si>
  <si>
    <t>DIR-#1023</t>
  </si>
  <si>
    <t>DIR-#1024</t>
  </si>
  <si>
    <t>DIR-#1025</t>
  </si>
  <si>
    <t>DIR-#1026</t>
  </si>
  <si>
    <t>DIR-#1027</t>
  </si>
  <si>
    <t>44.9</t>
  </si>
  <si>
    <t>DIR-#1028</t>
  </si>
  <si>
    <t>DIR-#1029</t>
  </si>
  <si>
    <t>DIR-#1031</t>
  </si>
  <si>
    <t>DIR-#1032</t>
  </si>
  <si>
    <t>47.78</t>
  </si>
  <si>
    <t>DIR-#1035</t>
  </si>
  <si>
    <t>DIR-#1036</t>
  </si>
  <si>
    <t>DIR-#1038</t>
  </si>
  <si>
    <t>DIR-#1040</t>
  </si>
  <si>
    <t>DIR-#1041</t>
  </si>
  <si>
    <t>DIR-#1042</t>
  </si>
  <si>
    <t>DIR-#1043</t>
  </si>
  <si>
    <t>DIR-#1045</t>
  </si>
  <si>
    <t>DIR-#1046</t>
  </si>
  <si>
    <t>DIR-#1047</t>
  </si>
  <si>
    <t>DIR-#1048</t>
  </si>
  <si>
    <t>660.0</t>
  </si>
  <si>
    <t>DIR-#1049</t>
  </si>
  <si>
    <t>DIR-#1050</t>
  </si>
  <si>
    <t>0.33</t>
  </si>
  <si>
    <t>DIR-F25006</t>
  </si>
  <si>
    <t>Servilline Foods</t>
  </si>
  <si>
    <t>1380.0</t>
  </si>
  <si>
    <t>DISTRIBUIDOR</t>
  </si>
  <si>
    <t>DIR-F25005</t>
  </si>
  <si>
    <t>Real Club de Golf de Sotongrande</t>
  </si>
  <si>
    <t>508.2</t>
  </si>
  <si>
    <t>HORECA</t>
  </si>
  <si>
    <t>DIR-#1051</t>
  </si>
  <si>
    <t>342.2</t>
  </si>
  <si>
    <t>4.0</t>
  </si>
  <si>
    <t>DIR-F25008</t>
  </si>
  <si>
    <t>Devnis Menorca</t>
  </si>
  <si>
    <t>1043.62</t>
  </si>
  <si>
    <t>15.0</t>
  </si>
  <si>
    <t>DIR-#1052</t>
  </si>
  <si>
    <t>DIR-F25009</t>
  </si>
  <si>
    <t>Importaciones Cuesta</t>
  </si>
  <si>
    <t>958.32</t>
  </si>
  <si>
    <t>DIR-F250010</t>
  </si>
  <si>
    <t>232.32</t>
  </si>
  <si>
    <t>DIR-#1053</t>
  </si>
  <si>
    <t>PLC-20250919-0133</t>
  </si>
  <si>
    <t>Il Patisiere</t>
  </si>
  <si>
    <t>72.0</t>
  </si>
  <si>
    <t>open</t>
  </si>
  <si>
    <t>PLACEMENT</t>
  </si>
  <si>
    <t>PLC-20250919-0132</t>
  </si>
  <si>
    <t>La Rotonda de Mirasierra</t>
  </si>
  <si>
    <t>PLC-20250919-0131</t>
  </si>
  <si>
    <t>Uval</t>
  </si>
  <si>
    <t>DIR-2500011</t>
  </si>
  <si>
    <t>Alejandra de la oliva</t>
  </si>
  <si>
    <t>417.45</t>
  </si>
  <si>
    <t>DIR-2500015</t>
  </si>
  <si>
    <t>Bodegas Jaime</t>
  </si>
  <si>
    <t>689.7</t>
  </si>
  <si>
    <t>DIR-2500017</t>
  </si>
  <si>
    <t>Escola</t>
  </si>
  <si>
    <t>DIR-2500018</t>
  </si>
  <si>
    <t>4064.45</t>
  </si>
  <si>
    <t>50.0</t>
  </si>
  <si>
    <t>DIR-2500013</t>
  </si>
  <si>
    <t>1442.32</t>
  </si>
  <si>
    <t>25.0</t>
  </si>
  <si>
    <t>DIR-2500016</t>
  </si>
  <si>
    <t>Isla Catavinos</t>
  </si>
  <si>
    <t>DIR-2500012</t>
  </si>
  <si>
    <t>Miguel garcía</t>
  </si>
  <si>
    <t>DIR-2500014</t>
  </si>
  <si>
    <t>333.96</t>
  </si>
  <si>
    <t>DIR-#1054</t>
  </si>
  <si>
    <t>PLC-20251001-0026</t>
  </si>
  <si>
    <t>Alacena de Aragón</t>
  </si>
  <si>
    <t>PLC-20251001-0125</t>
  </si>
  <si>
    <t>Ana Rey Catering y tienda</t>
  </si>
  <si>
    <t>PLC-20251001-0025</t>
  </si>
  <si>
    <t>Asador Galino Pueyo</t>
  </si>
  <si>
    <t>PLC-20251001-0000</t>
  </si>
  <si>
    <t>Chez Pepito</t>
  </si>
  <si>
    <t>PLC-20251001-0027</t>
  </si>
  <si>
    <t>Gayarre</t>
  </si>
  <si>
    <t>432.0</t>
  </si>
  <si>
    <t>PLC-20251001-0103</t>
  </si>
  <si>
    <t>PLC-20251001-0038</t>
  </si>
  <si>
    <t>La Bicicleta Roja</t>
  </si>
  <si>
    <t>PLC-20251001-0032</t>
  </si>
  <si>
    <t>La embajada</t>
  </si>
  <si>
    <t>PLC-20251001-0044</t>
  </si>
  <si>
    <t>Lanteo</t>
  </si>
  <si>
    <t>PLC-20251001-0028</t>
  </si>
  <si>
    <t>Mantequerias Sanz</t>
  </si>
  <si>
    <t>PLC-20251001-0105</t>
  </si>
  <si>
    <t>Pecaditos</t>
  </si>
  <si>
    <t>PLC-20251001-0065</t>
  </si>
  <si>
    <t>Rel Club de Golf Sotogrande</t>
  </si>
  <si>
    <t>PLC-20251001-0035</t>
  </si>
  <si>
    <t>Stop Supermercado</t>
  </si>
  <si>
    <t>PLC-20251001-0057</t>
  </si>
  <si>
    <t>Taberna Pedraza</t>
  </si>
  <si>
    <t>PLC-20251001-0023</t>
  </si>
  <si>
    <t>Terraza campo del moro</t>
  </si>
  <si>
    <t>PLC-20251001-0037</t>
  </si>
  <si>
    <t>Tulp</t>
  </si>
  <si>
    <t>PLC-20251001-0128</t>
  </si>
  <si>
    <t>coctel sunsrise</t>
  </si>
  <si>
    <t>PLC-20251001-0129</t>
  </si>
  <si>
    <t>santeria</t>
  </si>
  <si>
    <t>PLC-20251001-0130</t>
  </si>
  <si>
    <t>tienda stoo</t>
  </si>
  <si>
    <t>PLC-20251008-0104</t>
  </si>
  <si>
    <t>El Enemigo tienda</t>
  </si>
  <si>
    <t>PLC-20251108-0001</t>
  </si>
  <si>
    <t>eMeBe</t>
  </si>
  <si>
    <t>PLC-20251208-0126</t>
  </si>
  <si>
    <t>100% Mexico</t>
  </si>
  <si>
    <t>216.0</t>
  </si>
  <si>
    <t>3.0</t>
  </si>
  <si>
    <t>DIR-F25007</t>
  </si>
  <si>
    <t>Devins Menorca</t>
  </si>
  <si>
    <t>7972.73</t>
  </si>
  <si>
    <t>id</t>
  </si>
  <si>
    <t>Nombre</t>
  </si>
  <si>
    <t>source</t>
  </si>
  <si>
    <t>ownerId</t>
  </si>
  <si>
    <t>Segment</t>
  </si>
  <si>
    <t>Stage</t>
  </si>
  <si>
    <t>FLow</t>
  </si>
  <si>
    <t>distributorPartyId</t>
  </si>
  <si>
    <t xml:space="preserve">Contacto </t>
  </si>
  <si>
    <t>Distribuidor</t>
  </si>
  <si>
    <t>City</t>
  </si>
  <si>
    <t>acc_001</t>
  </si>
  <si>
    <t>Horeca</t>
  </si>
  <si>
    <t>Placement</t>
  </si>
  <si>
    <t>Romin</t>
  </si>
  <si>
    <t xml:space="preserve">CLOSED / WON </t>
  </si>
  <si>
    <t>Madrid</t>
  </si>
  <si>
    <t xml:space="preserve">Alfonso </t>
  </si>
  <si>
    <t>2 cajas</t>
  </si>
  <si>
    <t>acc_002</t>
  </si>
  <si>
    <t xml:space="preserve">eMeBe </t>
  </si>
  <si>
    <t>Miguel</t>
  </si>
  <si>
    <t>Nico</t>
  </si>
  <si>
    <t xml:space="preserve">2 cajas </t>
  </si>
  <si>
    <t>8 Vasos + Cubitera grande</t>
  </si>
  <si>
    <t>acc_003</t>
  </si>
  <si>
    <t>Morenas</t>
  </si>
  <si>
    <t>Eduardo Rozo</t>
  </si>
  <si>
    <t>acc_004</t>
  </si>
  <si>
    <t>Chakana</t>
  </si>
  <si>
    <t xml:space="preserve">Omar </t>
  </si>
  <si>
    <t>Zaragoza</t>
  </si>
  <si>
    <t>acc_005</t>
  </si>
  <si>
    <t>El Gordo Velazquez</t>
  </si>
  <si>
    <t>Jan Paulo y Javier</t>
  </si>
  <si>
    <t>acc_006</t>
  </si>
  <si>
    <t>Sabodiga</t>
  </si>
  <si>
    <t>Menorca</t>
  </si>
  <si>
    <t xml:space="preserve">Patxi </t>
  </si>
  <si>
    <t>acc_007</t>
  </si>
  <si>
    <t>Senor Bigote</t>
  </si>
  <si>
    <t>Jesus</t>
  </si>
  <si>
    <t>acc_008</t>
  </si>
  <si>
    <t>Cristanal y Gradinata</t>
  </si>
  <si>
    <t>acc_009</t>
  </si>
  <si>
    <t>Oysters</t>
  </si>
  <si>
    <t>Tobi</t>
  </si>
  <si>
    <t xml:space="preserve">6 vasos </t>
  </si>
  <si>
    <t>Carrer de Bastió, 7, 07703 Maó, Illes Balears</t>
  </si>
  <si>
    <t>acc_010</t>
  </si>
  <si>
    <t xml:space="preserve">Sa Tintina </t>
  </si>
  <si>
    <t xml:space="preserve">Alex </t>
  </si>
  <si>
    <t>acc_011</t>
  </si>
  <si>
    <t>Aqui hay Tomate</t>
  </si>
  <si>
    <t>acc_012</t>
  </si>
  <si>
    <t xml:space="preserve">Cova den Xoroi </t>
  </si>
  <si>
    <t>acc_013</t>
  </si>
  <si>
    <t xml:space="preserve">Madrid al Cielo </t>
  </si>
  <si>
    <t>acc_014</t>
  </si>
  <si>
    <t>Bar Augustin</t>
  </si>
  <si>
    <t>Patri</t>
  </si>
  <si>
    <t>acc_015</t>
  </si>
  <si>
    <t>Supermercado melo</t>
  </si>
  <si>
    <t>Ana</t>
  </si>
  <si>
    <t>acc_016</t>
  </si>
  <si>
    <t>Cervecería Santa Barbara</t>
  </si>
  <si>
    <t>Álvaro</t>
  </si>
  <si>
    <t>10 vasos</t>
  </si>
  <si>
    <t>acc_017</t>
  </si>
  <si>
    <t>Catering the cook</t>
  </si>
  <si>
    <t>Silvia Lodares</t>
  </si>
  <si>
    <t>acc_018</t>
  </si>
  <si>
    <t>Bulo</t>
  </si>
  <si>
    <t>Manu Cabello</t>
  </si>
  <si>
    <t>acc_019</t>
  </si>
  <si>
    <t>Joselito</t>
  </si>
  <si>
    <t>Carlos y jose Gómez</t>
  </si>
  <si>
    <t>acc_020</t>
  </si>
  <si>
    <t>Adrede</t>
  </si>
  <si>
    <t>Angel</t>
  </si>
  <si>
    <t>acc_021</t>
  </si>
  <si>
    <t>Las tablas</t>
  </si>
  <si>
    <t>Borja</t>
  </si>
  <si>
    <t>acc_022</t>
  </si>
  <si>
    <t>Gabys Bagels</t>
  </si>
  <si>
    <t>Baby y Rafa</t>
  </si>
  <si>
    <t>acc_023</t>
  </si>
  <si>
    <t>Delirium</t>
  </si>
  <si>
    <t>Lu</t>
  </si>
  <si>
    <t>acc_024</t>
  </si>
  <si>
    <t>Luna</t>
  </si>
  <si>
    <t>4 cajas</t>
  </si>
  <si>
    <t>acc_025</t>
  </si>
  <si>
    <t>Abacería Macarena</t>
  </si>
  <si>
    <t>Luis Magaña</t>
  </si>
  <si>
    <t>acc_026</t>
  </si>
  <si>
    <t>Cockatil Bar 1885</t>
  </si>
  <si>
    <t>acc_027</t>
  </si>
  <si>
    <t>acc_028</t>
  </si>
  <si>
    <t>Tiare Beach Club</t>
  </si>
  <si>
    <t>Girona</t>
  </si>
  <si>
    <t>acc_029</t>
  </si>
  <si>
    <t>Ibiza</t>
  </si>
  <si>
    <t>1 caja</t>
  </si>
  <si>
    <t>acc_030</t>
  </si>
  <si>
    <t>Flahertys</t>
  </si>
  <si>
    <t>acc_031</t>
  </si>
  <si>
    <t>Burdel de Foc</t>
  </si>
  <si>
    <t>Fran</t>
  </si>
  <si>
    <t xml:space="preserve">CONTACT NEXT SEASON </t>
  </si>
  <si>
    <t>acc_032</t>
  </si>
  <si>
    <t>Filemon</t>
  </si>
  <si>
    <t xml:space="preserve">CONTACTED </t>
  </si>
  <si>
    <t>acc_033</t>
  </si>
  <si>
    <t>La Rubia</t>
  </si>
  <si>
    <t>Nene</t>
  </si>
  <si>
    <t>acc_034</t>
  </si>
  <si>
    <t>Grupo dejate llevar</t>
  </si>
  <si>
    <t>Guiller Bragado</t>
  </si>
  <si>
    <t>acc_035</t>
  </si>
  <si>
    <t>Las Terrazas</t>
  </si>
  <si>
    <t>El patillas</t>
  </si>
  <si>
    <t>acc_036</t>
  </si>
  <si>
    <t>Berni Landeta</t>
  </si>
  <si>
    <t>acc_037</t>
  </si>
  <si>
    <t>Grupo Dani García</t>
  </si>
  <si>
    <t>Dani García</t>
  </si>
  <si>
    <t>Madrid, Anadalucía</t>
  </si>
  <si>
    <t>acc_038</t>
  </si>
  <si>
    <t xml:space="preserve">Corte Inglés </t>
  </si>
  <si>
    <t>Marta Álvarez</t>
  </si>
  <si>
    <t>acc_039</t>
  </si>
  <si>
    <t>Marea</t>
  </si>
  <si>
    <t>acc_040</t>
  </si>
  <si>
    <t xml:space="preserve">Grupo Paladium </t>
  </si>
  <si>
    <t>Dani Sakovic Matutes</t>
  </si>
  <si>
    <t>acc_041</t>
  </si>
  <si>
    <t>Catering Samantha</t>
  </si>
  <si>
    <t>Samantha</t>
  </si>
  <si>
    <t>acc_042</t>
  </si>
  <si>
    <t>Varma</t>
  </si>
  <si>
    <t>acc_043</t>
  </si>
  <si>
    <t>Grupo Triciclo</t>
  </si>
  <si>
    <t>acc_044</t>
  </si>
  <si>
    <t>Grupo Mentidero</t>
  </si>
  <si>
    <t>acc_045</t>
  </si>
  <si>
    <t>Palacio de Alcala</t>
  </si>
  <si>
    <t>acc_046</t>
  </si>
  <si>
    <t>Golda</t>
  </si>
  <si>
    <t>acc_047</t>
  </si>
  <si>
    <t>Casa Ortega</t>
  </si>
  <si>
    <t>Gonzalo Ortega</t>
  </si>
  <si>
    <t>acc_048</t>
  </si>
  <si>
    <t>Mantequerias Bravo</t>
  </si>
  <si>
    <t>acc_049</t>
  </si>
  <si>
    <t>Santigo Pedraza</t>
  </si>
  <si>
    <t>acc_050</t>
  </si>
  <si>
    <t>La maquina Jorge Juan</t>
  </si>
  <si>
    <t>acc_051</t>
  </si>
  <si>
    <t>Costa Este</t>
  </si>
  <si>
    <t>Roberto compras</t>
  </si>
  <si>
    <t>Barcelona</t>
  </si>
  <si>
    <t>acc_052</t>
  </si>
  <si>
    <t>Hotel Welington</t>
  </si>
  <si>
    <t>INTERESTED</t>
  </si>
  <si>
    <t>acc_053</t>
  </si>
  <si>
    <t>Trocadero</t>
  </si>
  <si>
    <t>acc_054</t>
  </si>
  <si>
    <t>Fondeo</t>
  </si>
  <si>
    <t>acc_055</t>
  </si>
  <si>
    <t>El Enemigo</t>
  </si>
  <si>
    <t>acc_056</t>
  </si>
  <si>
    <t xml:space="preserve">Copa de Balón </t>
  </si>
  <si>
    <t>acc_057</t>
  </si>
  <si>
    <t>Kostka</t>
  </si>
  <si>
    <t>Anadalucía</t>
  </si>
  <si>
    <t>acc_058</t>
  </si>
  <si>
    <t>Wondermarket. Keila</t>
  </si>
  <si>
    <t>acc_059</t>
  </si>
  <si>
    <t>Catering Laurel</t>
  </si>
  <si>
    <t>acc_060</t>
  </si>
  <si>
    <t>Sea Beach</t>
  </si>
  <si>
    <t>Cristina Losada</t>
  </si>
  <si>
    <t>acc_061</t>
  </si>
  <si>
    <t xml:space="preserve">Grupo Hyatt </t>
  </si>
  <si>
    <t>Rubén Ubric</t>
  </si>
  <si>
    <t>Mallorca</t>
  </si>
  <si>
    <t>acc_062</t>
  </si>
  <si>
    <t>AN Group</t>
  </si>
  <si>
    <t>Carlos Conde</t>
  </si>
  <si>
    <t>acc_063</t>
  </si>
  <si>
    <t xml:space="preserve">Kiss chupitos </t>
  </si>
  <si>
    <t xml:space="preserve">selim </t>
  </si>
  <si>
    <t>acc_064</t>
  </si>
  <si>
    <t>Bokaxankla:</t>
  </si>
  <si>
    <t>acc_065</t>
  </si>
  <si>
    <t>Trompo</t>
  </si>
  <si>
    <t>acc_066</t>
  </si>
  <si>
    <t>Florida Park</t>
  </si>
  <si>
    <t>acc_067</t>
  </si>
  <si>
    <t>Bajío</t>
  </si>
  <si>
    <t>acc_068</t>
  </si>
  <si>
    <t>La Boheme</t>
  </si>
  <si>
    <t>acc_069</t>
  </si>
  <si>
    <t>Los Peñotes</t>
  </si>
  <si>
    <t>acc_070</t>
  </si>
  <si>
    <t>Ciboulet</t>
  </si>
  <si>
    <t>acc_071</t>
  </si>
  <si>
    <t>NH</t>
  </si>
  <si>
    <t>acc_072</t>
  </si>
  <si>
    <t xml:space="preserve">AC </t>
  </si>
  <si>
    <t>acc_073</t>
  </si>
  <si>
    <t>Café de París</t>
  </si>
  <si>
    <t>acc_074</t>
  </si>
  <si>
    <t>Bar Nuevo M40</t>
  </si>
  <si>
    <t>acc_075</t>
  </si>
  <si>
    <t>Noname</t>
  </si>
  <si>
    <t>acc_076</t>
  </si>
  <si>
    <t>Liquor Store</t>
  </si>
  <si>
    <t>acc_077</t>
  </si>
  <si>
    <t>Fuerte Group Hotels</t>
  </si>
  <si>
    <t>acc_078</t>
  </si>
  <si>
    <t>4 Latas</t>
  </si>
  <si>
    <t>acc_079</t>
  </si>
  <si>
    <t xml:space="preserve">new Orleans </t>
  </si>
  <si>
    <t xml:space="preserve">Rubén </t>
  </si>
  <si>
    <t>acc_080</t>
  </si>
  <si>
    <t>Boca Grande</t>
  </si>
  <si>
    <t xml:space="preserve">Salvador Fernández </t>
  </si>
  <si>
    <t>Madrid, Barcelona</t>
  </si>
  <si>
    <t>acc_081</t>
  </si>
  <si>
    <t>Boca Chica</t>
  </si>
  <si>
    <t>acc_082</t>
  </si>
  <si>
    <t>Chica Club</t>
  </si>
  <si>
    <t>NEGOTATION</t>
  </si>
  <si>
    <t>acc_083</t>
  </si>
  <si>
    <t>Chica Beach</t>
  </si>
  <si>
    <t>acc_084</t>
  </si>
  <si>
    <t>Grupo Boia</t>
  </si>
  <si>
    <t>Manel Vheli</t>
  </si>
  <si>
    <t>acc_085</t>
  </si>
  <si>
    <t>candestino</t>
  </si>
  <si>
    <t xml:space="preserve">Raul </t>
  </si>
  <si>
    <t>acc_086</t>
  </si>
  <si>
    <t xml:space="preserve">el centro cultural </t>
  </si>
  <si>
    <t xml:space="preserve">Guillermo  Martínez </t>
  </si>
  <si>
    <t>acc_087</t>
  </si>
  <si>
    <t>La Penela</t>
  </si>
  <si>
    <t>acc_088</t>
  </si>
  <si>
    <t>Aurea</t>
  </si>
  <si>
    <t>acc_089</t>
  </si>
  <si>
    <t>Akangas</t>
  </si>
  <si>
    <t>SCHEDULE APPOINTMENT</t>
  </si>
  <si>
    <t>acc_090</t>
  </si>
  <si>
    <t>Cafe Pino</t>
  </si>
  <si>
    <t>acc_091</t>
  </si>
  <si>
    <t>Ke Sotogrande</t>
  </si>
  <si>
    <t>acc_092</t>
  </si>
  <si>
    <t>Formage</t>
  </si>
  <si>
    <t>Adrian Pellejo</t>
  </si>
  <si>
    <t>acc_093</t>
  </si>
  <si>
    <t>Supernormal</t>
  </si>
  <si>
    <t>Chiara</t>
  </si>
  <si>
    <t>acc_094</t>
  </si>
  <si>
    <t>Vinology</t>
  </si>
  <si>
    <t>Somelier Mateo</t>
  </si>
  <si>
    <t>acc_095</t>
  </si>
  <si>
    <t>Ingo</t>
  </si>
  <si>
    <t>Cajas</t>
  </si>
  <si>
    <t>6 cajas</t>
  </si>
  <si>
    <t>acc_096</t>
  </si>
  <si>
    <t>Juan Ortiz</t>
  </si>
  <si>
    <t>2 cajas (1+1)</t>
  </si>
  <si>
    <t>acc_097</t>
  </si>
  <si>
    <t>Alberto Sancho</t>
  </si>
  <si>
    <t>acc_098</t>
  </si>
  <si>
    <t>Richelieu</t>
  </si>
  <si>
    <t>Juanjo</t>
  </si>
  <si>
    <t>acc_099</t>
  </si>
  <si>
    <t>diene</t>
  </si>
  <si>
    <t>Javier nieto</t>
  </si>
  <si>
    <t>acc_100</t>
  </si>
  <si>
    <t>jane</t>
  </si>
  <si>
    <t xml:space="preserve">Joan </t>
  </si>
  <si>
    <t>acc_101</t>
  </si>
  <si>
    <t>Nueva Taberna</t>
  </si>
  <si>
    <t>acc_102</t>
  </si>
  <si>
    <t>sls</t>
  </si>
  <si>
    <t xml:space="preserve">mateo jefe de bebidas </t>
  </si>
  <si>
    <t>acc_103</t>
  </si>
  <si>
    <t>rosalia</t>
  </si>
  <si>
    <t>acc_104</t>
  </si>
  <si>
    <t>cooper</t>
  </si>
  <si>
    <t>edir malpartida</t>
  </si>
  <si>
    <t>acc_105</t>
  </si>
  <si>
    <t xml:space="preserve">catering stan </t>
  </si>
  <si>
    <t xml:space="preserve">Stanley </t>
  </si>
  <si>
    <t>acc_106</t>
  </si>
  <si>
    <t>catering la lloca</t>
  </si>
  <si>
    <t>acc_107</t>
  </si>
  <si>
    <t>la dama</t>
  </si>
  <si>
    <t xml:space="preserve">Andrea Civetinni </t>
  </si>
  <si>
    <t>acc_108</t>
  </si>
  <si>
    <t>feroz</t>
  </si>
  <si>
    <t xml:space="preserve">aritz </t>
  </si>
  <si>
    <t>acc_109</t>
  </si>
  <si>
    <t>vinalium</t>
  </si>
  <si>
    <t>mery</t>
  </si>
  <si>
    <t>acc_110</t>
  </si>
  <si>
    <t>bn group</t>
  </si>
  <si>
    <t>Cristian valls</t>
  </si>
  <si>
    <t>acc_111</t>
  </si>
  <si>
    <t>shoko</t>
  </si>
  <si>
    <t>David</t>
  </si>
  <si>
    <t>acc_112</t>
  </si>
  <si>
    <t>grupo Isabela</t>
  </si>
  <si>
    <t>acc_113</t>
  </si>
  <si>
    <t>grupo confitería</t>
  </si>
  <si>
    <t xml:space="preserve">marc </t>
  </si>
  <si>
    <t>acc_114</t>
  </si>
  <si>
    <t>vila viniteca</t>
  </si>
  <si>
    <t>Albert</t>
  </si>
  <si>
    <t>acc_115</t>
  </si>
  <si>
    <t>the green dog</t>
  </si>
  <si>
    <t>Raul</t>
  </si>
  <si>
    <t>acc_116</t>
  </si>
  <si>
    <t>clandestino</t>
  </si>
  <si>
    <t>acc_117</t>
  </si>
  <si>
    <t>acc_118</t>
  </si>
  <si>
    <t>Jordi</t>
  </si>
  <si>
    <t>3 cajas</t>
  </si>
  <si>
    <t>acc_119</t>
  </si>
  <si>
    <t>sea sea beach</t>
  </si>
  <si>
    <t>Ignacio  furest</t>
  </si>
  <si>
    <t>acc_120</t>
  </si>
  <si>
    <t>gerard</t>
  </si>
  <si>
    <t xml:space="preserve">4 cajas </t>
  </si>
  <si>
    <t>acc_121</t>
  </si>
  <si>
    <t>albert</t>
  </si>
  <si>
    <t>acc_122</t>
  </si>
  <si>
    <t>acc_123</t>
  </si>
  <si>
    <t>Sonia Abarca</t>
  </si>
  <si>
    <t>acc_124</t>
  </si>
  <si>
    <t>Pablo Machado</t>
  </si>
  <si>
    <t>acc_125</t>
  </si>
  <si>
    <t>María Inés</t>
  </si>
  <si>
    <t>acc_126</t>
  </si>
  <si>
    <t>Taste of America Retiro</t>
  </si>
  <si>
    <t>Yolanda</t>
  </si>
  <si>
    <t>acc_127</t>
  </si>
  <si>
    <t>Le Clab</t>
  </si>
  <si>
    <t>Monica</t>
  </si>
  <si>
    <t>acc_128</t>
  </si>
  <si>
    <t>Verso Y Veta</t>
  </si>
  <si>
    <t>Dani</t>
  </si>
  <si>
    <t>acc_129</t>
  </si>
  <si>
    <t>Taste of America Chueca</t>
  </si>
  <si>
    <t>acc_130</t>
  </si>
  <si>
    <t>Donde Mónica</t>
  </si>
  <si>
    <t>Mónica</t>
  </si>
  <si>
    <t>acc_131</t>
  </si>
  <si>
    <t>Grupo Oter</t>
  </si>
  <si>
    <t>acc_132</t>
  </si>
  <si>
    <t>Grupo La Máquina</t>
  </si>
  <si>
    <t>Javier</t>
  </si>
  <si>
    <t>acc_133</t>
  </si>
  <si>
    <t xml:space="preserve">Ostas Pedrín </t>
  </si>
  <si>
    <t>Salva Barres</t>
  </si>
  <si>
    <t>acc_134</t>
  </si>
  <si>
    <t>Bar trafalgar</t>
  </si>
  <si>
    <t>Alberto</t>
  </si>
  <si>
    <t>acc_135</t>
  </si>
  <si>
    <t>Hermanos Vinagre</t>
  </si>
  <si>
    <t>acc_136</t>
  </si>
  <si>
    <t>La Gildería</t>
  </si>
  <si>
    <t>Ubaldo</t>
  </si>
  <si>
    <t>acc_137</t>
  </si>
  <si>
    <t>Cañas y Tapas</t>
  </si>
  <si>
    <t>Gisele</t>
  </si>
  <si>
    <t>acc_138</t>
  </si>
  <si>
    <t>Mama Campo</t>
  </si>
  <si>
    <t>acc_139</t>
  </si>
  <si>
    <t>ACTIVA</t>
  </si>
  <si>
    <t>Direct</t>
  </si>
  <si>
    <t>Patxi</t>
  </si>
  <si>
    <t>Martin</t>
  </si>
  <si>
    <t>Facturado</t>
  </si>
  <si>
    <t>ESP</t>
  </si>
  <si>
    <t>barcelona</t>
  </si>
  <si>
    <t>acc_140</t>
  </si>
  <si>
    <t>mallorca</t>
  </si>
  <si>
    <t>acc_141</t>
  </si>
  <si>
    <t>zaragoza</t>
  </si>
  <si>
    <t>acc_142</t>
  </si>
  <si>
    <t>1442,32</t>
  </si>
  <si>
    <t>acc_144</t>
  </si>
  <si>
    <t>Privada</t>
  </si>
  <si>
    <t>Venta Privada</t>
  </si>
  <si>
    <t>Alfonso</t>
  </si>
  <si>
    <t>acc_145</t>
  </si>
  <si>
    <t>acc_146</t>
  </si>
  <si>
    <t>2 envíos en consgina</t>
  </si>
  <si>
    <t>acc_147</t>
  </si>
  <si>
    <t>F250010</t>
  </si>
  <si>
    <t>AÑADIR LAS MUESTRAS</t>
  </si>
  <si>
    <t>acc_148</t>
  </si>
  <si>
    <t>Carbónicas Alvarez</t>
  </si>
  <si>
    <t>acc_149</t>
  </si>
  <si>
    <t>Serviline Foods</t>
  </si>
  <si>
    <t>F25007</t>
  </si>
  <si>
    <t>acc_150</t>
  </si>
  <si>
    <t>Distribuidr</t>
  </si>
  <si>
    <t>F25006</t>
  </si>
  <si>
    <t>acc_151</t>
  </si>
  <si>
    <t>us_001</t>
  </si>
  <si>
    <t>acc_152</t>
  </si>
  <si>
    <t>acc_153</t>
  </si>
  <si>
    <t>acc_154</t>
  </si>
  <si>
    <t>acc_155</t>
  </si>
  <si>
    <t>Roto Zaragoza</t>
  </si>
  <si>
    <t>acc_156</t>
  </si>
  <si>
    <t>Roto Formigual</t>
  </si>
  <si>
    <t>acc_157</t>
  </si>
  <si>
    <t>La clandestina</t>
  </si>
  <si>
    <t>acc_158</t>
  </si>
  <si>
    <t>acc_159</t>
  </si>
  <si>
    <t>createdAt</t>
  </si>
  <si>
    <t>us_002</t>
  </si>
  <si>
    <t>us_003</t>
  </si>
  <si>
    <t>POTENCIAL</t>
  </si>
  <si>
    <t>SEGUIMIENTO</t>
  </si>
  <si>
    <t/>
  </si>
  <si>
    <t>Retail</t>
  </si>
  <si>
    <t>us_999</t>
  </si>
  <si>
    <t>us_004</t>
  </si>
  <si>
    <t>Aral</t>
  </si>
  <si>
    <t>acc_160</t>
  </si>
  <si>
    <t>tradeName</t>
  </si>
  <si>
    <t>legalName</t>
  </si>
  <si>
    <t>taxId</t>
  </si>
  <si>
    <t>phone</t>
  </si>
  <si>
    <t>billing adres</t>
  </si>
  <si>
    <t>peopole</t>
  </si>
  <si>
    <t>zona</t>
  </si>
  <si>
    <t>baleares</t>
  </si>
  <si>
    <t>Divins Menorca</t>
  </si>
  <si>
    <t>Zargoza</t>
  </si>
  <si>
    <t>name</t>
  </si>
  <si>
    <t>mail</t>
  </si>
  <si>
    <t>departament</t>
  </si>
  <si>
    <t>role</t>
  </si>
  <si>
    <t>aj@santabrisa.com</t>
  </si>
  <si>
    <t>Sales</t>
  </si>
  <si>
    <t>Comercial</t>
  </si>
  <si>
    <t>no@santabrisa.com</t>
  </si>
  <si>
    <t>pp@santabrisa.com</t>
  </si>
  <si>
    <t>Admin</t>
  </si>
  <si>
    <t>mj@santabrisa.co</t>
  </si>
  <si>
    <t>Owner</t>
  </si>
  <si>
    <t>us_005</t>
  </si>
  <si>
    <t>mo@santabrisa.com</t>
  </si>
  <si>
    <t>us_006</t>
  </si>
  <si>
    <t>Ansso</t>
  </si>
  <si>
    <t>ah@santabrisa.com</t>
  </si>
  <si>
    <t>Marketing</t>
  </si>
  <si>
    <t>us_007</t>
  </si>
  <si>
    <t>Maria</t>
  </si>
  <si>
    <t>mf@santabrisa.com</t>
  </si>
  <si>
    <t>Ops</t>
  </si>
  <si>
    <t xml:space="preserve">Ops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</si>
</sst>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d.m"/>
    <numFmt numFmtId="166" formatCode="d/MM/yyyy"/>
    <numFmt numFmtId="167" formatCode="[$€]#,##0.00"/>
    <numFmt numFmtId="168" formatCode="&quot;€&quot;#,##0.00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000000"/>
      <name val="Helvetica Neue"/>
    </font>
    <font>
      <color theme="1"/>
      <name val="Arial"/>
    </font>
    <font>
      <color rgb="FF222222"/>
      <name val="Aptos"/>
    </font>
    <font>
      <sz val="9.0"/>
      <color theme="1"/>
      <name val="Roboto"/>
    </font>
    <font>
      <b/>
      <sz val="11.0"/>
      <color theme="1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AFAFA"/>
        <bgColor rgb="FFFAFA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vertical="top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1" numFmtId="0" xfId="0" applyFont="1"/>
    <xf borderId="0" fillId="0" fontId="4" numFmtId="166" xfId="0" applyAlignment="1" applyFont="1" applyNumberFormat="1">
      <alignment vertical="bottom"/>
    </xf>
    <xf borderId="0" fillId="0" fontId="4" numFmtId="0" xfId="0" applyAlignment="1" applyFont="1">
      <alignment horizontal="center"/>
    </xf>
    <xf borderId="0" fillId="0" fontId="4" numFmtId="166" xfId="0" applyAlignment="1" applyFont="1" applyNumberFormat="1">
      <alignment horizontal="right" vertical="bottom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2" fontId="4" numFmtId="0" xfId="0" applyAlignment="1" applyFill="1" applyFont="1">
      <alignment horizontal="right" vertical="bottom"/>
    </xf>
    <xf borderId="0" fillId="3" fontId="2" numFmtId="0" xfId="0" applyAlignment="1" applyFill="1" applyFont="1">
      <alignment vertical="bottom"/>
    </xf>
    <xf borderId="0" fillId="4" fontId="6" numFmtId="166" xfId="0" applyAlignment="1" applyFill="1" applyFont="1" applyNumberFormat="1">
      <alignment vertical="bottom"/>
    </xf>
    <xf borderId="0" fillId="0" fontId="4" numFmtId="168" xfId="0" applyAlignment="1" applyFont="1" applyNumberFormat="1">
      <alignment horizontal="right" vertical="bottom"/>
    </xf>
    <xf borderId="0" fillId="3" fontId="7" numFmtId="0" xfId="0" applyAlignment="1" applyFont="1">
      <alignment vertical="bottom"/>
    </xf>
    <xf borderId="0" fillId="0" fontId="1" numFmtId="166" xfId="0" applyFont="1" applyNumberFormat="1"/>
    <xf borderId="0" fillId="4" fontId="6" numFmtId="166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tr">
        <f t="array" ref="B2">IFERROR(
  INDEX(accounts!A:A, MATCH(CLEAN(TRIM(UPPER(C2))), CLEAN(TRIM(UPPER(accounts!B:B))), 0)),
  "shopify"
)
</f>
        <v>shopify</v>
      </c>
      <c r="C2" s="1" t="s">
        <v>10</v>
      </c>
      <c r="D2" s="3">
        <v>45803.0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>
      <c r="A3" s="1" t="s">
        <v>16</v>
      </c>
      <c r="B3" s="2" t="str">
        <f t="array" ref="B3">IFERROR(
  INDEX(accounts!A:A, MATCH(CLEAN(TRIM(UPPER(C3))), CLEAN(TRIM(UPPER(accounts!B:B))), 0)),
  "shopify"
)
</f>
        <v>acc_147</v>
      </c>
      <c r="C3" s="1" t="s">
        <v>17</v>
      </c>
      <c r="D3" s="3">
        <v>45834.0</v>
      </c>
      <c r="E3" s="1" t="s">
        <v>18</v>
      </c>
      <c r="F3" s="1" t="s">
        <v>12</v>
      </c>
      <c r="G3" s="1" t="s">
        <v>13</v>
      </c>
      <c r="H3" s="1" t="s">
        <v>19</v>
      </c>
      <c r="I3" s="1" t="s">
        <v>20</v>
      </c>
    </row>
    <row r="4">
      <c r="A4" s="1" t="s">
        <v>16</v>
      </c>
      <c r="B4" s="2" t="str">
        <f t="array" ref="B4">IFERROR(
  INDEX(accounts!A:A, MATCH(CLEAN(TRIM(UPPER(C4))), CLEAN(TRIM(UPPER(accounts!B:B))), 0)),
  "shopify"
)
</f>
        <v>acc_147</v>
      </c>
      <c r="C4" s="1" t="s">
        <v>17</v>
      </c>
      <c r="D4" s="3">
        <v>45834.0</v>
      </c>
      <c r="E4" s="1" t="s">
        <v>21</v>
      </c>
      <c r="F4" s="1" t="s">
        <v>12</v>
      </c>
      <c r="G4" s="1" t="s">
        <v>13</v>
      </c>
      <c r="H4" s="1" t="s">
        <v>19</v>
      </c>
      <c r="I4" s="1" t="s">
        <v>22</v>
      </c>
    </row>
    <row r="5">
      <c r="A5" s="1" t="s">
        <v>23</v>
      </c>
      <c r="B5" s="2" t="str">
        <f t="array" ref="B5">IFERROR(
  INDEX(accounts!A:A, MATCH(CLEAN(TRIM(UPPER(C5))), CLEAN(TRIM(UPPER(accounts!B:B))), 0)),
  "shopify"
)
</f>
        <v>shopify</v>
      </c>
      <c r="C5" s="1" t="s">
        <v>10</v>
      </c>
      <c r="D5" s="3">
        <v>45835.0</v>
      </c>
      <c r="E5" s="1" t="s">
        <v>24</v>
      </c>
      <c r="F5" s="1" t="s">
        <v>12</v>
      </c>
      <c r="G5" s="1" t="s">
        <v>13</v>
      </c>
      <c r="H5" s="1" t="s">
        <v>14</v>
      </c>
      <c r="I5" s="1" t="s">
        <v>25</v>
      </c>
    </row>
    <row r="6">
      <c r="A6" s="1" t="s">
        <v>16</v>
      </c>
      <c r="B6" s="2" t="str">
        <f t="array" ref="B6">IFERROR(
  INDEX(accounts!A:A, MATCH(CLEAN(TRIM(UPPER(C6))), CLEAN(TRIM(UPPER(accounts!B:B))), 0)),
  "shopify"
)
</f>
        <v>acc_147</v>
      </c>
      <c r="C6" s="1" t="s">
        <v>17</v>
      </c>
      <c r="D6" s="3">
        <v>45839.0</v>
      </c>
      <c r="E6" s="1" t="s">
        <v>26</v>
      </c>
      <c r="F6" s="1" t="s">
        <v>12</v>
      </c>
      <c r="G6" s="1" t="s">
        <v>13</v>
      </c>
      <c r="H6" s="1" t="s">
        <v>19</v>
      </c>
      <c r="I6" s="1" t="s">
        <v>27</v>
      </c>
    </row>
    <row r="7">
      <c r="A7" s="1" t="s">
        <v>16</v>
      </c>
      <c r="B7" s="2" t="str">
        <f t="array" ref="B7">IFERROR(
  INDEX(accounts!A:A, MATCH(CLEAN(TRIM(UPPER(C7))), CLEAN(TRIM(UPPER(accounts!B:B))), 0)),
  "shopify"
)
</f>
        <v>acc_147</v>
      </c>
      <c r="C7" s="1" t="s">
        <v>17</v>
      </c>
      <c r="D7" s="3">
        <v>45842.0</v>
      </c>
      <c r="E7" s="1" t="s">
        <v>21</v>
      </c>
      <c r="F7" s="1" t="s">
        <v>12</v>
      </c>
      <c r="G7" s="1" t="s">
        <v>13</v>
      </c>
      <c r="H7" s="1" t="s">
        <v>19</v>
      </c>
      <c r="I7" s="1" t="s">
        <v>22</v>
      </c>
    </row>
    <row r="8">
      <c r="A8" s="1" t="s">
        <v>28</v>
      </c>
      <c r="B8" s="2" t="str">
        <f t="array" ref="B8">IFERROR(
  INDEX(accounts!A:A, MATCH(CLEAN(TRIM(UPPER(C8))), CLEAN(TRIM(UPPER(accounts!B:B))), 0)),
  "shopify"
)
</f>
        <v>shopify</v>
      </c>
      <c r="C8" s="1" t="s">
        <v>10</v>
      </c>
      <c r="D8" s="3">
        <v>45843.0</v>
      </c>
      <c r="E8" s="1" t="s">
        <v>29</v>
      </c>
      <c r="F8" s="1" t="s">
        <v>12</v>
      </c>
      <c r="G8" s="1" t="s">
        <v>13</v>
      </c>
      <c r="H8" s="1" t="s">
        <v>14</v>
      </c>
      <c r="I8" s="1" t="s">
        <v>30</v>
      </c>
    </row>
    <row r="9">
      <c r="A9" s="1" t="s">
        <v>28</v>
      </c>
      <c r="B9" s="2" t="str">
        <f t="array" ref="B9">IFERROR(
  INDEX(accounts!A:A, MATCH(CLEAN(TRIM(UPPER(C9))), CLEAN(TRIM(UPPER(accounts!B:B))), 0)),
  "shopify"
)
</f>
        <v>shopify</v>
      </c>
      <c r="C9" s="1" t="s">
        <v>10</v>
      </c>
      <c r="D9" s="3">
        <v>45855.0</v>
      </c>
      <c r="E9" s="1" t="s">
        <v>31</v>
      </c>
      <c r="F9" s="1" t="s">
        <v>12</v>
      </c>
      <c r="G9" s="1" t="s">
        <v>13</v>
      </c>
      <c r="H9" s="1" t="s">
        <v>14</v>
      </c>
      <c r="I9" s="1" t="s">
        <v>15</v>
      </c>
    </row>
    <row r="10">
      <c r="A10" s="1" t="s">
        <v>32</v>
      </c>
      <c r="B10" s="2" t="str">
        <f t="array" ref="B10">IFERROR(
  INDEX(accounts!A:A, MATCH(CLEAN(TRIM(UPPER(C10))), CLEAN(TRIM(UPPER(accounts!B:B))), 0)),
  "shopify"
)
</f>
        <v>shopify</v>
      </c>
      <c r="C10" s="1" t="s">
        <v>10</v>
      </c>
      <c r="D10" s="3">
        <v>45856.0</v>
      </c>
      <c r="E10" s="1" t="s">
        <v>33</v>
      </c>
      <c r="F10" s="1" t="s">
        <v>12</v>
      </c>
      <c r="G10" s="1" t="s">
        <v>13</v>
      </c>
      <c r="H10" s="1" t="s">
        <v>14</v>
      </c>
      <c r="I10" s="1" t="s">
        <v>30</v>
      </c>
    </row>
    <row r="11">
      <c r="A11" s="1" t="s">
        <v>34</v>
      </c>
      <c r="B11" s="2" t="str">
        <f t="array" ref="B11">IFERROR(
  INDEX(accounts!A:A, MATCH(CLEAN(TRIM(UPPER(C11))), CLEAN(TRIM(UPPER(accounts!B:B))), 0)),
  "shopify"
)
</f>
        <v>shopify</v>
      </c>
      <c r="C11" s="1" t="s">
        <v>10</v>
      </c>
      <c r="D11" s="3">
        <v>45856.0</v>
      </c>
      <c r="E11" s="1" t="s">
        <v>35</v>
      </c>
      <c r="F11" s="1" t="s">
        <v>12</v>
      </c>
      <c r="G11" s="1" t="s">
        <v>13</v>
      </c>
      <c r="H11" s="1" t="s">
        <v>14</v>
      </c>
      <c r="I11" s="1" t="s">
        <v>30</v>
      </c>
    </row>
    <row r="12">
      <c r="A12" s="1" t="s">
        <v>36</v>
      </c>
      <c r="B12" s="2" t="str">
        <f t="array" ref="B12">IFERROR(
  INDEX(accounts!A:A, MATCH(CLEAN(TRIM(UPPER(C12))), CLEAN(TRIM(UPPER(accounts!B:B))), 0)),
  "shopify"
)
</f>
        <v>shopify</v>
      </c>
      <c r="C12" s="1" t="s">
        <v>10</v>
      </c>
      <c r="D12" s="3">
        <v>45859.0</v>
      </c>
      <c r="E12" s="1" t="s">
        <v>37</v>
      </c>
      <c r="F12" s="1" t="s">
        <v>12</v>
      </c>
      <c r="G12" s="1" t="s">
        <v>13</v>
      </c>
      <c r="H12" s="1" t="s">
        <v>14</v>
      </c>
      <c r="I12" s="1" t="s">
        <v>30</v>
      </c>
    </row>
    <row r="13">
      <c r="A13" s="1" t="s">
        <v>38</v>
      </c>
      <c r="B13" s="2" t="str">
        <f t="array" ref="B13">IFERROR(
  INDEX(accounts!A:A, MATCH(CLEAN(TRIM(UPPER(C13))), CLEAN(TRIM(UPPER(accounts!B:B))), 0)),
  "shopify"
)
</f>
        <v>shopify</v>
      </c>
      <c r="C13" s="1" t="s">
        <v>10</v>
      </c>
      <c r="D13" s="3">
        <v>45862.0</v>
      </c>
      <c r="E13" s="1" t="s">
        <v>37</v>
      </c>
      <c r="F13" s="1" t="s">
        <v>12</v>
      </c>
      <c r="G13" s="1" t="s">
        <v>13</v>
      </c>
      <c r="H13" s="1" t="s">
        <v>14</v>
      </c>
      <c r="I13" s="1" t="s">
        <v>30</v>
      </c>
    </row>
    <row r="14">
      <c r="A14" s="1" t="s">
        <v>39</v>
      </c>
      <c r="B14" s="2" t="str">
        <f t="array" ref="B14">IFERROR(
  INDEX(accounts!A:A, MATCH(CLEAN(TRIM(UPPER(C14))), CLEAN(TRIM(UPPER(accounts!B:B))), 0)),
  "shopify"
)
</f>
        <v>shopify</v>
      </c>
      <c r="C14" s="1" t="s">
        <v>10</v>
      </c>
      <c r="D14" s="3">
        <v>45865.0</v>
      </c>
      <c r="E14" s="1" t="s">
        <v>40</v>
      </c>
      <c r="F14" s="1" t="s">
        <v>12</v>
      </c>
      <c r="G14" s="1" t="s">
        <v>13</v>
      </c>
      <c r="H14" s="1" t="s">
        <v>14</v>
      </c>
      <c r="I14" s="1" t="s">
        <v>25</v>
      </c>
    </row>
    <row r="15">
      <c r="A15" s="1" t="s">
        <v>41</v>
      </c>
      <c r="B15" s="2" t="str">
        <f t="array" ref="B15">IFERROR(
  INDEX(accounts!A:A, MATCH(CLEAN(TRIM(UPPER(C15))), CLEAN(TRIM(UPPER(accounts!B:B))), 0)),
  "shopify"
)
</f>
        <v>shopify</v>
      </c>
      <c r="C15" s="1" t="s">
        <v>10</v>
      </c>
      <c r="D15" s="3">
        <v>45866.0</v>
      </c>
      <c r="E15" s="1" t="s">
        <v>42</v>
      </c>
      <c r="F15" s="1" t="s">
        <v>12</v>
      </c>
      <c r="G15" s="1" t="s">
        <v>13</v>
      </c>
      <c r="H15" s="1" t="s">
        <v>14</v>
      </c>
      <c r="I15" s="1" t="s">
        <v>43</v>
      </c>
    </row>
    <row r="16">
      <c r="A16" s="1" t="s">
        <v>44</v>
      </c>
      <c r="B16" s="2" t="str">
        <f t="array" ref="B16">IFERROR(
  INDEX(accounts!A:A, MATCH(CLEAN(TRIM(UPPER(C16))), CLEAN(TRIM(UPPER(accounts!B:B))), 0)),
  "shopify"
)
</f>
        <v>shopify</v>
      </c>
      <c r="C16" s="1" t="s">
        <v>10</v>
      </c>
      <c r="D16" s="3">
        <v>45866.0</v>
      </c>
      <c r="E16" s="1" t="s">
        <v>40</v>
      </c>
      <c r="F16" s="1" t="s">
        <v>12</v>
      </c>
      <c r="G16" s="1" t="s">
        <v>13</v>
      </c>
      <c r="H16" s="1" t="s">
        <v>14</v>
      </c>
      <c r="I16" s="1" t="s">
        <v>25</v>
      </c>
    </row>
    <row r="17">
      <c r="A17" s="1" t="s">
        <v>45</v>
      </c>
      <c r="B17" s="2" t="str">
        <f t="array" ref="B17">IFERROR(
  INDEX(accounts!A:A, MATCH(CLEAN(TRIM(UPPER(C17))), CLEAN(TRIM(UPPER(accounts!B:B))), 0)),
  "shopify"
)
</f>
        <v>shopify</v>
      </c>
      <c r="C17" s="1" t="s">
        <v>10</v>
      </c>
      <c r="D17" s="3">
        <v>45866.0</v>
      </c>
      <c r="E17" s="1" t="s">
        <v>46</v>
      </c>
      <c r="F17" s="1" t="s">
        <v>12</v>
      </c>
      <c r="G17" s="1" t="s">
        <v>13</v>
      </c>
      <c r="H17" s="1" t="s">
        <v>14</v>
      </c>
      <c r="I17" s="1" t="s">
        <v>30</v>
      </c>
    </row>
    <row r="18">
      <c r="A18" s="1" t="s">
        <v>47</v>
      </c>
      <c r="B18" s="2" t="str">
        <f t="array" ref="B18">IFERROR(
  INDEX(accounts!A:A, MATCH(CLEAN(TRIM(UPPER(C18))), CLEAN(TRIM(UPPER(accounts!B:B))), 0)),
  "shopify"
)
</f>
        <v>shopify</v>
      </c>
      <c r="C18" s="1" t="s">
        <v>10</v>
      </c>
      <c r="D18" s="3">
        <v>45866.0</v>
      </c>
      <c r="E18" s="1" t="s">
        <v>33</v>
      </c>
      <c r="F18" s="1" t="s">
        <v>12</v>
      </c>
      <c r="G18" s="1" t="s">
        <v>13</v>
      </c>
      <c r="H18" s="1" t="s">
        <v>14</v>
      </c>
      <c r="I18" s="1" t="s">
        <v>30</v>
      </c>
    </row>
    <row r="19">
      <c r="A19" s="1" t="s">
        <v>48</v>
      </c>
      <c r="B19" s="2" t="str">
        <f t="array" ref="B19">IFERROR(
  INDEX(accounts!A:A, MATCH(CLEAN(TRIM(UPPER(C19))), CLEAN(TRIM(UPPER(accounts!B:B))), 0)),
  "shopify"
)
</f>
        <v>shopify</v>
      </c>
      <c r="C19" s="1" t="s">
        <v>10</v>
      </c>
      <c r="D19" s="3">
        <v>45867.0</v>
      </c>
      <c r="E19" s="1" t="s">
        <v>33</v>
      </c>
      <c r="F19" s="1" t="s">
        <v>12</v>
      </c>
      <c r="G19" s="1" t="s">
        <v>13</v>
      </c>
      <c r="H19" s="1" t="s">
        <v>14</v>
      </c>
      <c r="I19" s="1" t="s">
        <v>30</v>
      </c>
    </row>
    <row r="20">
      <c r="A20" s="1" t="s">
        <v>16</v>
      </c>
      <c r="B20" s="2" t="str">
        <f t="array" ref="B20">IFERROR(
  INDEX(accounts!A:A, MATCH(CLEAN(TRIM(UPPER(C20))), CLEAN(TRIM(UPPER(accounts!B:B))), 0)),
  "shopify"
)
</f>
        <v>acc_146</v>
      </c>
      <c r="C20" s="1" t="s">
        <v>49</v>
      </c>
      <c r="D20" s="3">
        <v>45868.0</v>
      </c>
      <c r="E20" s="1" t="s">
        <v>50</v>
      </c>
      <c r="F20" s="1" t="s">
        <v>12</v>
      </c>
      <c r="G20" s="1" t="s">
        <v>13</v>
      </c>
      <c r="H20" s="1" t="s">
        <v>19</v>
      </c>
      <c r="I20" s="1" t="s">
        <v>20</v>
      </c>
    </row>
    <row r="21">
      <c r="A21" s="1" t="s">
        <v>51</v>
      </c>
      <c r="B21" s="2" t="str">
        <f t="array" ref="B21">IFERROR(
  INDEX(accounts!A:A, MATCH(CLEAN(TRIM(UPPER(C21))), CLEAN(TRIM(UPPER(accounts!B:B))), 0)),
  "shopify"
)
</f>
        <v>shopify</v>
      </c>
      <c r="C21" s="1" t="s">
        <v>10</v>
      </c>
      <c r="D21" s="3">
        <v>45868.0</v>
      </c>
      <c r="E21" s="1" t="s">
        <v>52</v>
      </c>
      <c r="F21" s="1" t="s">
        <v>12</v>
      </c>
      <c r="G21" s="1" t="s">
        <v>13</v>
      </c>
      <c r="H21" s="1" t="s">
        <v>14</v>
      </c>
      <c r="I21" s="1" t="s">
        <v>30</v>
      </c>
    </row>
    <row r="22">
      <c r="A22" s="1" t="s">
        <v>53</v>
      </c>
      <c r="B22" s="2" t="str">
        <f t="array" ref="B22">IFERROR(
  INDEX(accounts!A:A, MATCH(CLEAN(TRIM(UPPER(C22))), CLEAN(TRIM(UPPER(accounts!B:B))), 0)),
  "shopify"
)
</f>
        <v>shopify</v>
      </c>
      <c r="C22" s="1" t="s">
        <v>10</v>
      </c>
      <c r="D22" s="3">
        <v>45870.0</v>
      </c>
      <c r="E22" s="1" t="s">
        <v>52</v>
      </c>
      <c r="F22" s="1" t="s">
        <v>12</v>
      </c>
      <c r="G22" s="1" t="s">
        <v>13</v>
      </c>
      <c r="H22" s="1" t="s">
        <v>14</v>
      </c>
      <c r="I22" s="1" t="s">
        <v>30</v>
      </c>
    </row>
    <row r="23">
      <c r="A23" s="1" t="s">
        <v>54</v>
      </c>
      <c r="B23" s="2" t="str">
        <f t="array" ref="B23">IFERROR(
  INDEX(accounts!A:A, MATCH(CLEAN(TRIM(UPPER(C23))), CLEAN(TRIM(UPPER(accounts!B:B))), 0)),
  "shopify"
)
</f>
        <v>shopify</v>
      </c>
      <c r="C23" s="1" t="s">
        <v>10</v>
      </c>
      <c r="D23" s="3">
        <v>45871.0</v>
      </c>
      <c r="E23" s="1" t="s">
        <v>33</v>
      </c>
      <c r="F23" s="1" t="s">
        <v>12</v>
      </c>
      <c r="G23" s="1" t="s">
        <v>13</v>
      </c>
      <c r="H23" s="1" t="s">
        <v>14</v>
      </c>
      <c r="I23" s="1" t="s">
        <v>30</v>
      </c>
    </row>
    <row r="24">
      <c r="A24" s="1" t="s">
        <v>55</v>
      </c>
      <c r="B24" s="2" t="str">
        <f t="array" ref="B24">IFERROR(
  INDEX(accounts!A:A, MATCH(CLEAN(TRIM(UPPER(C24))), CLEAN(TRIM(UPPER(accounts!B:B))), 0)),
  "shopify"
)
</f>
        <v>shopify</v>
      </c>
      <c r="C24" s="1" t="s">
        <v>10</v>
      </c>
      <c r="D24" s="3">
        <v>45873.0</v>
      </c>
      <c r="E24" s="1" t="s">
        <v>33</v>
      </c>
      <c r="F24" s="1" t="s">
        <v>12</v>
      </c>
      <c r="G24" s="1" t="s">
        <v>13</v>
      </c>
      <c r="H24" s="1" t="s">
        <v>14</v>
      </c>
      <c r="I24" s="1" t="s">
        <v>30</v>
      </c>
    </row>
    <row r="25">
      <c r="A25" s="1" t="s">
        <v>56</v>
      </c>
      <c r="B25" s="2" t="str">
        <f t="array" ref="B25">IFERROR(
  INDEX(accounts!A:A, MATCH(CLEAN(TRIM(UPPER(C25))), CLEAN(TRIM(UPPER(accounts!B:B))), 0)),
  "shopify"
)
</f>
        <v>shopify</v>
      </c>
      <c r="C25" s="1" t="s">
        <v>10</v>
      </c>
      <c r="D25" s="3">
        <v>45873.0</v>
      </c>
      <c r="E25" s="1" t="s">
        <v>33</v>
      </c>
      <c r="F25" s="1" t="s">
        <v>12</v>
      </c>
      <c r="G25" s="1" t="s">
        <v>13</v>
      </c>
      <c r="H25" s="1" t="s">
        <v>14</v>
      </c>
      <c r="I25" s="1" t="s">
        <v>30</v>
      </c>
    </row>
    <row r="26">
      <c r="A26" s="1" t="s">
        <v>57</v>
      </c>
      <c r="B26" s="2" t="str">
        <f t="array" ref="B26">IFERROR(
  INDEX(accounts!A:A, MATCH(CLEAN(TRIM(UPPER(C26))), CLEAN(TRIM(UPPER(accounts!B:B))), 0)),
  "shopify"
)
</f>
        <v>shopify</v>
      </c>
      <c r="C26" s="1" t="s">
        <v>10</v>
      </c>
      <c r="D26" s="3">
        <v>45873.0</v>
      </c>
      <c r="E26" s="1" t="s">
        <v>33</v>
      </c>
      <c r="F26" s="1" t="s">
        <v>12</v>
      </c>
      <c r="G26" s="1" t="s">
        <v>13</v>
      </c>
      <c r="H26" s="1" t="s">
        <v>14</v>
      </c>
      <c r="I26" s="1" t="s">
        <v>30</v>
      </c>
    </row>
    <row r="27">
      <c r="A27" s="1" t="s">
        <v>58</v>
      </c>
      <c r="B27" s="2" t="str">
        <f t="array" ref="B27">IFERROR(
  INDEX(accounts!A:A, MATCH(CLEAN(TRIM(UPPER(C27))), CLEAN(TRIM(UPPER(accounts!B:B))), 0)),
  "shopify"
)
</f>
        <v>shopify</v>
      </c>
      <c r="C27" s="1" t="s">
        <v>10</v>
      </c>
      <c r="D27" s="3">
        <v>45873.0</v>
      </c>
      <c r="E27" s="1" t="s">
        <v>33</v>
      </c>
      <c r="F27" s="1" t="s">
        <v>12</v>
      </c>
      <c r="G27" s="1" t="s">
        <v>13</v>
      </c>
      <c r="H27" s="1" t="s">
        <v>14</v>
      </c>
      <c r="I27" s="1" t="s">
        <v>30</v>
      </c>
    </row>
    <row r="28">
      <c r="A28" s="1" t="s">
        <v>59</v>
      </c>
      <c r="B28" s="2" t="str">
        <f t="array" ref="B28">IFERROR(
  INDEX(accounts!A:A, MATCH(CLEAN(TRIM(UPPER(C28))), CLEAN(TRIM(UPPER(accounts!B:B))), 0)),
  "shopify"
)
</f>
        <v>shopify</v>
      </c>
      <c r="C28" s="1" t="s">
        <v>10</v>
      </c>
      <c r="D28" s="3">
        <v>45873.0</v>
      </c>
      <c r="E28" s="4">
        <v>45803.0</v>
      </c>
      <c r="F28" s="1" t="s">
        <v>12</v>
      </c>
      <c r="G28" s="1" t="s">
        <v>13</v>
      </c>
      <c r="H28" s="1" t="s">
        <v>14</v>
      </c>
      <c r="I28" s="1" t="s">
        <v>15</v>
      </c>
    </row>
    <row r="29">
      <c r="A29" s="1" t="s">
        <v>60</v>
      </c>
      <c r="B29" s="2" t="str">
        <f t="array" ref="B29">IFERROR(
  INDEX(accounts!A:A, MATCH(CLEAN(TRIM(UPPER(C29))), CLEAN(TRIM(UPPER(accounts!B:B))), 0)),
  "shopify"
)
</f>
        <v>shopify</v>
      </c>
      <c r="C29" s="1" t="s">
        <v>10</v>
      </c>
      <c r="D29" s="3">
        <v>45874.0</v>
      </c>
      <c r="E29" s="1" t="s">
        <v>33</v>
      </c>
      <c r="F29" s="1" t="s">
        <v>12</v>
      </c>
      <c r="G29" s="1" t="s">
        <v>13</v>
      </c>
      <c r="H29" s="1" t="s">
        <v>14</v>
      </c>
      <c r="I29" s="1" t="s">
        <v>30</v>
      </c>
    </row>
    <row r="30">
      <c r="A30" s="1" t="s">
        <v>61</v>
      </c>
      <c r="B30" s="2" t="str">
        <f t="array" ref="B30">IFERROR(
  INDEX(accounts!A:A, MATCH(CLEAN(TRIM(UPPER(C30))), CLEAN(TRIM(UPPER(accounts!B:B))), 0)),
  "shopify"
)
</f>
        <v>shopify</v>
      </c>
      <c r="C30" s="1" t="s">
        <v>10</v>
      </c>
      <c r="D30" s="3">
        <v>45874.0</v>
      </c>
      <c r="E30" s="1" t="s">
        <v>62</v>
      </c>
      <c r="F30" s="1" t="s">
        <v>12</v>
      </c>
      <c r="G30" s="1" t="s">
        <v>13</v>
      </c>
      <c r="H30" s="1" t="s">
        <v>14</v>
      </c>
      <c r="I30" s="1" t="s">
        <v>15</v>
      </c>
    </row>
    <row r="31">
      <c r="A31" s="1" t="s">
        <v>63</v>
      </c>
      <c r="B31" s="2" t="str">
        <f t="array" ref="B31">IFERROR(
  INDEX(accounts!A:A, MATCH(CLEAN(TRIM(UPPER(C31))), CLEAN(TRIM(UPPER(accounts!B:B))), 0)),
  "shopify"
)
</f>
        <v>shopify</v>
      </c>
      <c r="C31" s="1" t="s">
        <v>10</v>
      </c>
      <c r="D31" s="3">
        <v>45875.0</v>
      </c>
      <c r="E31" s="1" t="s">
        <v>33</v>
      </c>
      <c r="F31" s="1" t="s">
        <v>12</v>
      </c>
      <c r="G31" s="1" t="s">
        <v>13</v>
      </c>
      <c r="H31" s="1" t="s">
        <v>14</v>
      </c>
      <c r="I31" s="1" t="s">
        <v>30</v>
      </c>
    </row>
    <row r="32">
      <c r="A32" s="1" t="s">
        <v>64</v>
      </c>
      <c r="B32" s="2" t="str">
        <f t="array" ref="B32">IFERROR(
  INDEX(accounts!A:A, MATCH(CLEAN(TRIM(UPPER(C32))), CLEAN(TRIM(UPPER(accounts!B:B))), 0)),
  "shopify"
)
</f>
        <v>shopify</v>
      </c>
      <c r="C32" s="1" t="s">
        <v>10</v>
      </c>
      <c r="D32" s="3">
        <v>45875.0</v>
      </c>
      <c r="E32" s="1" t="s">
        <v>33</v>
      </c>
      <c r="F32" s="1" t="s">
        <v>12</v>
      </c>
      <c r="G32" s="1" t="s">
        <v>13</v>
      </c>
      <c r="H32" s="1" t="s">
        <v>14</v>
      </c>
      <c r="I32" s="1" t="s">
        <v>30</v>
      </c>
    </row>
    <row r="33">
      <c r="A33" s="1" t="s">
        <v>65</v>
      </c>
      <c r="B33" s="2" t="str">
        <f t="array" ref="B33">IFERROR(
  INDEX(accounts!A:A, MATCH(CLEAN(TRIM(UPPER(C33))), CLEAN(TRIM(UPPER(accounts!B:B))), 0)),
  "shopify"
)
</f>
        <v>shopify</v>
      </c>
      <c r="C33" s="1" t="s">
        <v>10</v>
      </c>
      <c r="D33" s="3">
        <v>45878.0</v>
      </c>
      <c r="E33" s="1" t="s">
        <v>62</v>
      </c>
      <c r="F33" s="1" t="s">
        <v>12</v>
      </c>
      <c r="G33" s="1" t="s">
        <v>13</v>
      </c>
      <c r="H33" s="1" t="s">
        <v>14</v>
      </c>
      <c r="I33" s="1" t="s">
        <v>15</v>
      </c>
    </row>
    <row r="34">
      <c r="A34" s="1" t="s">
        <v>66</v>
      </c>
      <c r="B34" s="2" t="str">
        <f t="array" ref="B34">IFERROR(
  INDEX(accounts!A:A, MATCH(CLEAN(TRIM(UPPER(C34))), CLEAN(TRIM(UPPER(accounts!B:B))), 0)),
  "shopify"
)
</f>
        <v>shopify</v>
      </c>
      <c r="C34" s="1" t="s">
        <v>10</v>
      </c>
      <c r="D34" s="3">
        <v>45879.0</v>
      </c>
      <c r="E34" s="1" t="s">
        <v>33</v>
      </c>
      <c r="F34" s="1" t="s">
        <v>12</v>
      </c>
      <c r="G34" s="1" t="s">
        <v>13</v>
      </c>
      <c r="H34" s="1" t="s">
        <v>14</v>
      </c>
      <c r="I34" s="1" t="s">
        <v>30</v>
      </c>
    </row>
    <row r="35">
      <c r="A35" s="1" t="s">
        <v>16</v>
      </c>
      <c r="B35" s="2" t="str">
        <f t="array" ref="B35">IFERROR(
  INDEX(accounts!A:A, MATCH(CLEAN(TRIM(UPPER(C35))), CLEAN(TRIM(UPPER(accounts!B:B))), 0)),
  "shopify"
)
</f>
        <v>shopify</v>
      </c>
      <c r="C35" s="1" t="s">
        <v>10</v>
      </c>
      <c r="D35" s="3">
        <v>45879.0</v>
      </c>
      <c r="E35" s="1" t="s">
        <v>67</v>
      </c>
      <c r="F35" s="1" t="s">
        <v>12</v>
      </c>
      <c r="G35" s="1" t="s">
        <v>13</v>
      </c>
      <c r="H35" s="1" t="s">
        <v>14</v>
      </c>
      <c r="I35" s="1" t="s">
        <v>15</v>
      </c>
    </row>
    <row r="36">
      <c r="A36" s="1" t="s">
        <v>68</v>
      </c>
      <c r="B36" s="2" t="str">
        <f t="array" ref="B36">IFERROR(
  INDEX(accounts!A:A, MATCH(CLEAN(TRIM(UPPER(C36))), CLEAN(TRIM(UPPER(accounts!B:B))), 0)),
  "shopify"
)
</f>
        <v>shopify</v>
      </c>
      <c r="C36" s="1" t="s">
        <v>10</v>
      </c>
      <c r="D36" s="3">
        <v>45886.0</v>
      </c>
      <c r="E36" s="1" t="s">
        <v>33</v>
      </c>
      <c r="F36" s="1" t="s">
        <v>12</v>
      </c>
      <c r="G36" s="1" t="s">
        <v>13</v>
      </c>
      <c r="H36" s="1" t="s">
        <v>14</v>
      </c>
      <c r="I36" s="1" t="s">
        <v>30</v>
      </c>
    </row>
    <row r="37">
      <c r="A37" s="1" t="s">
        <v>69</v>
      </c>
      <c r="B37" s="2" t="str">
        <f t="array" ref="B37">IFERROR(
  INDEX(accounts!A:A, MATCH(CLEAN(TRIM(UPPER(C37))), CLEAN(TRIM(UPPER(accounts!B:B))), 0)),
  "shopify"
)
</f>
        <v>shopify</v>
      </c>
      <c r="C37" s="1" t="s">
        <v>10</v>
      </c>
      <c r="D37" s="3">
        <v>45888.0</v>
      </c>
      <c r="E37" s="1" t="s">
        <v>37</v>
      </c>
      <c r="F37" s="1" t="s">
        <v>12</v>
      </c>
      <c r="G37" s="1" t="s">
        <v>13</v>
      </c>
      <c r="H37" s="1" t="s">
        <v>14</v>
      </c>
      <c r="I37" s="1" t="s">
        <v>30</v>
      </c>
    </row>
    <row r="38">
      <c r="A38" s="1" t="s">
        <v>70</v>
      </c>
      <c r="B38" s="2" t="str">
        <f t="array" ref="B38">IFERROR(
  INDEX(accounts!A:A, MATCH(CLEAN(TRIM(UPPER(C38))), CLEAN(TRIM(UPPER(accounts!B:B))), 0)),
  "shopify"
)
</f>
        <v>shopify</v>
      </c>
      <c r="C38" s="1" t="s">
        <v>10</v>
      </c>
      <c r="D38" s="3">
        <v>45889.0</v>
      </c>
      <c r="E38" s="1" t="s">
        <v>33</v>
      </c>
      <c r="F38" s="1" t="s">
        <v>12</v>
      </c>
      <c r="G38" s="1" t="s">
        <v>13</v>
      </c>
      <c r="H38" s="1" t="s">
        <v>14</v>
      </c>
      <c r="I38" s="1" t="s">
        <v>30</v>
      </c>
    </row>
    <row r="39">
      <c r="A39" s="1" t="s">
        <v>71</v>
      </c>
      <c r="B39" s="2" t="str">
        <f t="array" ref="B39">IFERROR(
  INDEX(accounts!A:A, MATCH(CLEAN(TRIM(UPPER(C39))), CLEAN(TRIM(UPPER(accounts!B:B))), 0)),
  "shopify"
)
</f>
        <v>shopify</v>
      </c>
      <c r="C39" s="1" t="s">
        <v>10</v>
      </c>
      <c r="D39" s="3">
        <v>45891.0</v>
      </c>
      <c r="E39" s="1" t="s">
        <v>52</v>
      </c>
      <c r="F39" s="1" t="s">
        <v>12</v>
      </c>
      <c r="G39" s="1" t="s">
        <v>13</v>
      </c>
      <c r="H39" s="1" t="s">
        <v>14</v>
      </c>
      <c r="I39" s="1" t="s">
        <v>30</v>
      </c>
    </row>
    <row r="40">
      <c r="A40" s="1" t="s">
        <v>72</v>
      </c>
      <c r="B40" s="2" t="str">
        <f t="array" ref="B40">IFERROR(
  INDEX(accounts!A:A, MATCH(CLEAN(TRIM(UPPER(C40))), CLEAN(TRIM(UPPER(accounts!B:B))), 0)),
  "shopify"
)
</f>
        <v>shopify</v>
      </c>
      <c r="C40" s="1" t="s">
        <v>10</v>
      </c>
      <c r="D40" s="3">
        <v>45892.0</v>
      </c>
      <c r="E40" s="1" t="s">
        <v>37</v>
      </c>
      <c r="F40" s="1" t="s">
        <v>12</v>
      </c>
      <c r="G40" s="1" t="s">
        <v>13</v>
      </c>
      <c r="H40" s="1" t="s">
        <v>14</v>
      </c>
      <c r="I40" s="1" t="s">
        <v>30</v>
      </c>
    </row>
    <row r="41">
      <c r="A41" s="1" t="s">
        <v>73</v>
      </c>
      <c r="B41" s="2" t="str">
        <f t="array" ref="B41">IFERROR(
  INDEX(accounts!A:A, MATCH(CLEAN(TRIM(UPPER(C41))), CLEAN(TRIM(UPPER(accounts!B:B))), 0)),
  "shopify"
)
</f>
        <v>shopify</v>
      </c>
      <c r="C41" s="1" t="s">
        <v>10</v>
      </c>
      <c r="D41" s="3">
        <v>45894.0</v>
      </c>
      <c r="E41" s="1" t="s">
        <v>33</v>
      </c>
      <c r="F41" s="1" t="s">
        <v>12</v>
      </c>
      <c r="G41" s="1" t="s">
        <v>13</v>
      </c>
      <c r="H41" s="1" t="s">
        <v>14</v>
      </c>
      <c r="I41" s="1" t="s">
        <v>30</v>
      </c>
    </row>
    <row r="42">
      <c r="A42" s="1" t="s">
        <v>74</v>
      </c>
      <c r="B42" s="2" t="str">
        <f t="array" ref="B42">IFERROR(
  INDEX(accounts!A:A, MATCH(CLEAN(TRIM(UPPER(C42))), CLEAN(TRIM(UPPER(accounts!B:B))), 0)),
  "shopify"
)
</f>
        <v>shopify</v>
      </c>
      <c r="C42" s="1" t="s">
        <v>10</v>
      </c>
      <c r="D42" s="3">
        <v>45896.0</v>
      </c>
      <c r="E42" s="4">
        <v>45803.0</v>
      </c>
      <c r="F42" s="1" t="s">
        <v>12</v>
      </c>
      <c r="G42" s="1" t="s">
        <v>13</v>
      </c>
      <c r="H42" s="1" t="s">
        <v>14</v>
      </c>
      <c r="I42" s="1" t="s">
        <v>15</v>
      </c>
    </row>
    <row r="43">
      <c r="A43" s="1" t="s">
        <v>75</v>
      </c>
      <c r="B43" s="2" t="str">
        <f t="array" ref="B43">IFERROR(
  INDEX(accounts!A:A, MATCH(CLEAN(TRIM(UPPER(C43))), CLEAN(TRIM(UPPER(accounts!B:B))), 0)),
  "shopify"
)
</f>
        <v>shopify</v>
      </c>
      <c r="C43" s="1" t="s">
        <v>10</v>
      </c>
      <c r="D43" s="3">
        <v>45897.0</v>
      </c>
      <c r="E43" s="1" t="s">
        <v>37</v>
      </c>
      <c r="F43" s="1" t="s">
        <v>12</v>
      </c>
      <c r="G43" s="1" t="s">
        <v>13</v>
      </c>
      <c r="H43" s="1" t="s">
        <v>14</v>
      </c>
      <c r="I43" s="1" t="s">
        <v>30</v>
      </c>
    </row>
    <row r="44">
      <c r="A44" s="1" t="s">
        <v>76</v>
      </c>
      <c r="B44" s="2" t="str">
        <f t="array" ref="B44">IFERROR(
  INDEX(accounts!A:A, MATCH(CLEAN(TRIM(UPPER(C44))), CLEAN(TRIM(UPPER(accounts!B:B))), 0)),
  "shopify"
)
</f>
        <v>shopify</v>
      </c>
      <c r="C44" s="1" t="s">
        <v>10</v>
      </c>
      <c r="D44" s="3">
        <v>45900.0</v>
      </c>
      <c r="E44" s="1" t="s">
        <v>33</v>
      </c>
      <c r="F44" s="1" t="s">
        <v>12</v>
      </c>
      <c r="G44" s="1" t="s">
        <v>13</v>
      </c>
      <c r="H44" s="1" t="s">
        <v>14</v>
      </c>
      <c r="I44" s="1" t="s">
        <v>30</v>
      </c>
    </row>
    <row r="45">
      <c r="A45" s="1" t="s">
        <v>77</v>
      </c>
      <c r="B45" s="2" t="str">
        <f t="array" ref="B45">IFERROR(
  INDEX(accounts!A:A, MATCH(CLEAN(TRIM(UPPER(C45))), CLEAN(TRIM(UPPER(accounts!B:B))), 0)),
  "shopify"
)
</f>
        <v>shopify</v>
      </c>
      <c r="C45" s="1" t="s">
        <v>10</v>
      </c>
      <c r="D45" s="3">
        <v>45900.0</v>
      </c>
      <c r="E45" s="4">
        <v>45808.0</v>
      </c>
      <c r="F45" s="1" t="s">
        <v>12</v>
      </c>
      <c r="G45" s="1" t="s">
        <v>13</v>
      </c>
      <c r="H45" s="1" t="s">
        <v>14</v>
      </c>
      <c r="I45" s="1" t="s">
        <v>15</v>
      </c>
    </row>
    <row r="46">
      <c r="A46" s="1" t="s">
        <v>78</v>
      </c>
      <c r="B46" s="2" t="str">
        <f t="array" ref="B46">IFERROR(
  INDEX(accounts!A:A, MATCH(CLEAN(TRIM(UPPER(C46))), CLEAN(TRIM(UPPER(accounts!B:B))), 0)),
  "shopify"
)
</f>
        <v>shopify</v>
      </c>
      <c r="C46" s="1" t="s">
        <v>10</v>
      </c>
      <c r="D46" s="3">
        <v>45900.0</v>
      </c>
      <c r="E46" s="1" t="s">
        <v>79</v>
      </c>
      <c r="F46" s="1" t="s">
        <v>12</v>
      </c>
      <c r="G46" s="1" t="s">
        <v>13</v>
      </c>
      <c r="H46" s="1" t="s">
        <v>14</v>
      </c>
      <c r="I46" s="1" t="s">
        <v>43</v>
      </c>
    </row>
    <row r="47">
      <c r="A47" s="1" t="s">
        <v>80</v>
      </c>
      <c r="B47" s="2" t="str">
        <f t="array" ref="B47">IFERROR(
  INDEX(accounts!A:A, MATCH(CLEAN(TRIM(UPPER(C47))), CLEAN(TRIM(UPPER(accounts!B:B))), 0)),
  "shopify"
)
</f>
        <v>shopify</v>
      </c>
      <c r="C47" s="1" t="s">
        <v>10</v>
      </c>
      <c r="D47" s="3">
        <v>45902.0</v>
      </c>
      <c r="E47" s="1" t="s">
        <v>33</v>
      </c>
      <c r="F47" s="1" t="s">
        <v>12</v>
      </c>
      <c r="G47" s="1" t="s">
        <v>13</v>
      </c>
      <c r="H47" s="1" t="s">
        <v>14</v>
      </c>
      <c r="I47" s="1" t="s">
        <v>30</v>
      </c>
    </row>
    <row r="48">
      <c r="A48" s="1" t="s">
        <v>81</v>
      </c>
      <c r="B48" s="2" t="str">
        <f t="array" ref="B48">IFERROR(
  INDEX(accounts!A:A, MATCH(CLEAN(TRIM(UPPER(C48))), CLEAN(TRIM(UPPER(accounts!B:B))), 0)),
  "shopify"
)
</f>
        <v>shopify</v>
      </c>
      <c r="C48" s="1" t="s">
        <v>10</v>
      </c>
      <c r="D48" s="3">
        <v>45905.0</v>
      </c>
      <c r="E48" s="1" t="s">
        <v>31</v>
      </c>
      <c r="F48" s="1" t="s">
        <v>12</v>
      </c>
      <c r="G48" s="1" t="s">
        <v>13</v>
      </c>
      <c r="H48" s="1" t="s">
        <v>14</v>
      </c>
      <c r="I48" s="1" t="s">
        <v>82</v>
      </c>
    </row>
    <row r="49">
      <c r="A49" s="1" t="s">
        <v>83</v>
      </c>
      <c r="B49" s="2" t="str">
        <f t="array" ref="B49">IFERROR(
  INDEX(accounts!A:A, MATCH(CLEAN(TRIM(UPPER(C49))), CLEAN(TRIM(UPPER(accounts!B:B))), 0)),
  "shopify"
)
</f>
        <v>acc_149</v>
      </c>
      <c r="C49" s="1" t="s">
        <v>84</v>
      </c>
      <c r="D49" s="3">
        <v>45908.0</v>
      </c>
      <c r="E49" s="1" t="s">
        <v>85</v>
      </c>
      <c r="F49" s="1" t="s">
        <v>12</v>
      </c>
      <c r="G49" s="1" t="s">
        <v>13</v>
      </c>
      <c r="H49" s="1" t="s">
        <v>86</v>
      </c>
      <c r="I49" s="1" t="s">
        <v>27</v>
      </c>
    </row>
    <row r="50">
      <c r="A50" s="1" t="s">
        <v>87</v>
      </c>
      <c r="B50" s="2" t="str">
        <f t="array" ref="B50">IFERROR(
  INDEX(accounts!A:A, MATCH(CLEAN(TRIM(UPPER(C50))), CLEAN(TRIM(UPPER(accounts!B:B))), 0)),
  "shopify"
)
</f>
        <v>acc_057</v>
      </c>
      <c r="C50" s="1" t="s">
        <v>88</v>
      </c>
      <c r="D50" s="3">
        <v>45909.0</v>
      </c>
      <c r="E50" s="1" t="s">
        <v>89</v>
      </c>
      <c r="F50" s="1" t="s">
        <v>12</v>
      </c>
      <c r="G50" s="1" t="s">
        <v>13</v>
      </c>
      <c r="H50" s="1" t="s">
        <v>90</v>
      </c>
      <c r="I50" s="1" t="s">
        <v>43</v>
      </c>
    </row>
    <row r="51">
      <c r="A51" s="1" t="s">
        <v>91</v>
      </c>
      <c r="B51" s="2" t="str">
        <f t="array" ref="B51">IFERROR(
  INDEX(accounts!A:A, MATCH(CLEAN(TRIM(UPPER(C51))), CLEAN(TRIM(UPPER(accounts!B:B))), 0)),
  "shopify"
)
</f>
        <v>shopify</v>
      </c>
      <c r="C51" s="1" t="s">
        <v>10</v>
      </c>
      <c r="D51" s="3">
        <v>45909.0</v>
      </c>
      <c r="E51" s="1" t="s">
        <v>92</v>
      </c>
      <c r="F51" s="1" t="s">
        <v>12</v>
      </c>
      <c r="G51" s="1" t="s">
        <v>13</v>
      </c>
      <c r="H51" s="1" t="s">
        <v>14</v>
      </c>
      <c r="I51" s="1" t="s">
        <v>93</v>
      </c>
    </row>
    <row r="52">
      <c r="A52" s="1" t="s">
        <v>94</v>
      </c>
      <c r="B52" s="2" t="str">
        <f t="array" ref="B52">IFERROR(
  INDEX(accounts!A:A, MATCH(CLEAN(TRIM(UPPER(C52))), CLEAN(TRIM(UPPER(accounts!B:B))), 0)),
  "shopify"
)
</f>
        <v>acc_150</v>
      </c>
      <c r="C52" s="1" t="s">
        <v>95</v>
      </c>
      <c r="D52" s="3">
        <v>45912.0</v>
      </c>
      <c r="E52" s="1" t="s">
        <v>96</v>
      </c>
      <c r="F52" s="1" t="s">
        <v>12</v>
      </c>
      <c r="G52" s="1" t="s">
        <v>13</v>
      </c>
      <c r="H52" s="1" t="s">
        <v>86</v>
      </c>
      <c r="I52" s="1" t="s">
        <v>97</v>
      </c>
    </row>
    <row r="53">
      <c r="A53" s="1" t="s">
        <v>98</v>
      </c>
      <c r="B53" s="2" t="str">
        <f t="array" ref="B53">IFERROR(
  INDEX(accounts!A:A, MATCH(CLEAN(TRIM(UPPER(C53))), CLEAN(TRIM(UPPER(accounts!B:B))), 0)),
  "shopify"
)
</f>
        <v>shopify</v>
      </c>
      <c r="C53" s="1" t="s">
        <v>10</v>
      </c>
      <c r="D53" s="3">
        <v>45912.0</v>
      </c>
      <c r="E53" s="1" t="s">
        <v>31</v>
      </c>
      <c r="F53" s="1" t="s">
        <v>12</v>
      </c>
      <c r="G53" s="1" t="s">
        <v>13</v>
      </c>
      <c r="H53" s="1" t="s">
        <v>14</v>
      </c>
      <c r="I53" s="1" t="s">
        <v>82</v>
      </c>
    </row>
    <row r="54">
      <c r="A54" s="1" t="s">
        <v>99</v>
      </c>
      <c r="B54" s="2" t="str">
        <f t="array" ref="B54">IFERROR(
  INDEX(accounts!A:A, MATCH(CLEAN(TRIM(UPPER(C54))), CLEAN(TRIM(UPPER(accounts!B:B))), 0)),
  "shopify"
)
</f>
        <v>acc_142</v>
      </c>
      <c r="C54" s="1" t="s">
        <v>100</v>
      </c>
      <c r="D54" s="3">
        <v>45913.0</v>
      </c>
      <c r="E54" s="1" t="s">
        <v>101</v>
      </c>
      <c r="F54" s="1" t="s">
        <v>12</v>
      </c>
      <c r="G54" s="1" t="s">
        <v>13</v>
      </c>
      <c r="H54" s="1" t="s">
        <v>86</v>
      </c>
      <c r="I54" s="4">
        <v>45793.0</v>
      </c>
    </row>
    <row r="55">
      <c r="A55" s="1" t="s">
        <v>102</v>
      </c>
      <c r="B55" s="2" t="str">
        <f t="array" ref="B55">IFERROR(
  INDEX(accounts!A:A, MATCH(CLEAN(TRIM(UPPER(C55))), CLEAN(TRIM(UPPER(accounts!B:B))), 0)),
  "shopify"
)
</f>
        <v>acc_147</v>
      </c>
      <c r="C55" s="1" t="s">
        <v>17</v>
      </c>
      <c r="D55" s="3">
        <v>45913.0</v>
      </c>
      <c r="E55" s="1" t="s">
        <v>103</v>
      </c>
      <c r="F55" s="1" t="s">
        <v>12</v>
      </c>
      <c r="G55" s="1" t="s">
        <v>13</v>
      </c>
      <c r="H55" s="1" t="s">
        <v>19</v>
      </c>
      <c r="I55" s="1" t="s">
        <v>93</v>
      </c>
    </row>
    <row r="56">
      <c r="A56" s="1" t="s">
        <v>104</v>
      </c>
      <c r="B56" s="2" t="str">
        <f t="array" ref="B56">IFERROR(
  INDEX(accounts!A:A, MATCH(CLEAN(TRIM(UPPER(C56))), CLEAN(TRIM(UPPER(accounts!B:B))), 0)),
  "shopify"
)
</f>
        <v>shopify</v>
      </c>
      <c r="C56" s="1" t="s">
        <v>10</v>
      </c>
      <c r="D56" s="3">
        <v>45916.0</v>
      </c>
      <c r="E56" s="1" t="s">
        <v>33</v>
      </c>
      <c r="F56" s="1" t="s">
        <v>12</v>
      </c>
      <c r="G56" s="1" t="s">
        <v>13</v>
      </c>
      <c r="H56" s="1" t="s">
        <v>14</v>
      </c>
      <c r="I56" s="1" t="s">
        <v>30</v>
      </c>
    </row>
    <row r="57">
      <c r="A57" s="1" t="s">
        <v>105</v>
      </c>
      <c r="B57" s="2" t="str">
        <f t="array" ref="B57">IFERROR(
  INDEX(accounts!A:A, MATCH(CLEAN(TRIM(UPPER(C57))), CLEAN(TRIM(UPPER(accounts!B:B))), 0)),
  "shopify"
)
</f>
        <v>acc_125</v>
      </c>
      <c r="C57" s="1" t="s">
        <v>106</v>
      </c>
      <c r="D57" s="3">
        <v>45919.0</v>
      </c>
      <c r="E57" s="1" t="s">
        <v>107</v>
      </c>
      <c r="F57" s="1" t="s">
        <v>108</v>
      </c>
      <c r="G57" s="1" t="s">
        <v>109</v>
      </c>
      <c r="H57" s="1" t="s">
        <v>86</v>
      </c>
      <c r="I57" s="1" t="s">
        <v>30</v>
      </c>
    </row>
    <row r="58">
      <c r="A58" s="1" t="s">
        <v>110</v>
      </c>
      <c r="B58" s="2" t="str">
        <f t="array" ref="B58">IFERROR(
  INDEX(accounts!A:A, MATCH(CLEAN(TRIM(UPPER(C58))), CLEAN(TRIM(UPPER(accounts!B:B))), 0)),
  "shopify"
)
</f>
        <v>acc_124</v>
      </c>
      <c r="C58" s="1" t="s">
        <v>111</v>
      </c>
      <c r="D58" s="3">
        <v>45919.0</v>
      </c>
      <c r="E58" s="1" t="s">
        <v>35</v>
      </c>
      <c r="F58" s="1" t="s">
        <v>108</v>
      </c>
      <c r="G58" s="1" t="s">
        <v>109</v>
      </c>
      <c r="H58" s="1" t="s">
        <v>86</v>
      </c>
      <c r="I58" s="1" t="s">
        <v>25</v>
      </c>
    </row>
    <row r="59">
      <c r="A59" s="1" t="s">
        <v>112</v>
      </c>
      <c r="B59" s="2" t="str">
        <f t="array" ref="B59">IFERROR(
  INDEX(accounts!A:A, MATCH(CLEAN(TRIM(UPPER(C59))), CLEAN(TRIM(UPPER(accounts!B:B))), 0)),
  "shopify"
)
</f>
        <v>acc_123</v>
      </c>
      <c r="C59" s="1" t="s">
        <v>113</v>
      </c>
      <c r="D59" s="3">
        <v>45919.0</v>
      </c>
      <c r="E59" s="1" t="s">
        <v>107</v>
      </c>
      <c r="F59" s="1" t="s">
        <v>108</v>
      </c>
      <c r="G59" s="1" t="s">
        <v>109</v>
      </c>
      <c r="H59" s="1" t="s">
        <v>86</v>
      </c>
      <c r="I59" s="1" t="s">
        <v>30</v>
      </c>
    </row>
    <row r="60">
      <c r="A60" s="1" t="s">
        <v>114</v>
      </c>
      <c r="B60" s="2" t="str">
        <f t="array" ref="B60">IFERROR(
  INDEX(accounts!A:A, MATCH(CLEAN(TRIM(UPPER(C60))), CLEAN(TRIM(UPPER(accounts!B:B))), 0)),
  "shopify"
)
</f>
        <v>acc_145</v>
      </c>
      <c r="C60" s="1" t="s">
        <v>115</v>
      </c>
      <c r="D60" s="3">
        <v>45926.0</v>
      </c>
      <c r="E60" s="1" t="s">
        <v>116</v>
      </c>
      <c r="F60" s="1" t="s">
        <v>12</v>
      </c>
      <c r="G60" s="1" t="s">
        <v>13</v>
      </c>
      <c r="H60" s="1" t="s">
        <v>19</v>
      </c>
      <c r="I60" s="1" t="s">
        <v>43</v>
      </c>
    </row>
    <row r="61">
      <c r="A61" s="1" t="s">
        <v>117</v>
      </c>
      <c r="B61" s="2" t="str">
        <f t="array" ref="B61">IFERROR(
  INDEX(accounts!A:A, MATCH(CLEAN(TRIM(UPPER(C61))), CLEAN(TRIM(UPPER(accounts!B:B))), 0)),
  "shopify"
)
</f>
        <v>acc_141</v>
      </c>
      <c r="C61" s="1" t="s">
        <v>118</v>
      </c>
      <c r="D61" s="3">
        <v>45926.0</v>
      </c>
      <c r="E61" s="1" t="s">
        <v>119</v>
      </c>
      <c r="F61" s="1" t="s">
        <v>12</v>
      </c>
      <c r="G61" s="1" t="s">
        <v>13</v>
      </c>
      <c r="H61" s="1" t="s">
        <v>86</v>
      </c>
      <c r="I61" s="1" t="s">
        <v>22</v>
      </c>
    </row>
    <row r="62">
      <c r="A62" s="1" t="s">
        <v>120</v>
      </c>
      <c r="B62" s="2" t="str">
        <f t="array" ref="B62">IFERROR(
  INDEX(accounts!A:A, MATCH(CLEAN(TRIM(UPPER(C62))), CLEAN(TRIM(UPPER(accounts!B:B))), 0)),
  "shopify"
)
</f>
        <v>acc_139</v>
      </c>
      <c r="C62" s="1" t="s">
        <v>121</v>
      </c>
      <c r="D62" s="3">
        <v>45926.0</v>
      </c>
      <c r="E62" s="1" t="s">
        <v>119</v>
      </c>
      <c r="F62" s="1" t="s">
        <v>12</v>
      </c>
      <c r="G62" s="1" t="s">
        <v>13</v>
      </c>
      <c r="H62" s="1" t="s">
        <v>86</v>
      </c>
      <c r="I62" s="1" t="s">
        <v>22</v>
      </c>
    </row>
    <row r="63">
      <c r="A63" s="1" t="s">
        <v>122</v>
      </c>
      <c r="B63" s="2" t="str">
        <f t="array" ref="B63">IFERROR(
  INDEX(accounts!A:A, MATCH(CLEAN(TRIM(UPPER(C63))), CLEAN(TRIM(UPPER(accounts!B:B))), 0)),
  "shopify"
)
</f>
        <v>acc_139</v>
      </c>
      <c r="C63" s="1" t="s">
        <v>121</v>
      </c>
      <c r="D63" s="3">
        <v>45926.0</v>
      </c>
      <c r="E63" s="1" t="s">
        <v>123</v>
      </c>
      <c r="F63" s="1" t="s">
        <v>12</v>
      </c>
      <c r="G63" s="1" t="s">
        <v>13</v>
      </c>
      <c r="H63" s="1" t="s">
        <v>86</v>
      </c>
      <c r="I63" s="1" t="s">
        <v>124</v>
      </c>
    </row>
    <row r="64">
      <c r="A64" s="1" t="s">
        <v>125</v>
      </c>
      <c r="B64" s="2" t="str">
        <f t="array" ref="B64">IFERROR(
  INDEX(accounts!A:A, MATCH(CLEAN(TRIM(UPPER(C64))), CLEAN(TRIM(UPPER(accounts!B:B))), 0)),
  "shopify"
)
</f>
        <v>acc_142</v>
      </c>
      <c r="C64" s="1" t="s">
        <v>100</v>
      </c>
      <c r="D64" s="3">
        <v>45926.0</v>
      </c>
      <c r="E64" s="1" t="s">
        <v>126</v>
      </c>
      <c r="F64" s="1" t="s">
        <v>12</v>
      </c>
      <c r="G64" s="1" t="s">
        <v>13</v>
      </c>
      <c r="H64" s="1" t="s">
        <v>86</v>
      </c>
      <c r="I64" s="1" t="s">
        <v>127</v>
      </c>
    </row>
    <row r="65">
      <c r="A65" s="1" t="s">
        <v>128</v>
      </c>
      <c r="B65" s="2" t="str">
        <f t="array" ref="B65">IFERROR(
  INDEX(accounts!A:A, MATCH(CLEAN(TRIM(UPPER(C65))), CLEAN(TRIM(UPPER(accounts!B:B))), 0)),
  "shopify"
)
</f>
        <v>acc_140</v>
      </c>
      <c r="C65" s="5" t="s">
        <v>129</v>
      </c>
      <c r="D65" s="3">
        <v>45926.0</v>
      </c>
      <c r="E65" s="1" t="s">
        <v>119</v>
      </c>
      <c r="F65" s="1" t="s">
        <v>12</v>
      </c>
      <c r="G65" s="1" t="s">
        <v>13</v>
      </c>
      <c r="H65" s="1" t="s">
        <v>86</v>
      </c>
      <c r="I65" s="1" t="s">
        <v>22</v>
      </c>
    </row>
    <row r="66">
      <c r="A66" s="1" t="s">
        <v>130</v>
      </c>
      <c r="B66" s="2" t="str">
        <f t="array" ref="B66">IFERROR(
  INDEX(accounts!A:A, MATCH(CLEAN(TRIM(UPPER(C66))), CLEAN(TRIM(UPPER(accounts!B:B))), 0)),
  "shopify"
)
</f>
        <v>acc_144</v>
      </c>
      <c r="C66" s="1" t="s">
        <v>131</v>
      </c>
      <c r="D66" s="3">
        <v>45926.0</v>
      </c>
      <c r="E66" s="1" t="s">
        <v>116</v>
      </c>
      <c r="F66" s="1" t="s">
        <v>12</v>
      </c>
      <c r="G66" s="1" t="s">
        <v>13</v>
      </c>
      <c r="H66" s="1" t="s">
        <v>19</v>
      </c>
      <c r="I66" s="1" t="s">
        <v>43</v>
      </c>
    </row>
    <row r="67">
      <c r="A67" s="1" t="s">
        <v>132</v>
      </c>
      <c r="B67" s="2" t="str">
        <f t="array" ref="B67">IFERROR(
  INDEX(accounts!A:A, MATCH(CLEAN(TRIM(UPPER(C67))), CLEAN(TRIM(UPPER(accounts!B:B))), 0)),
  "shopify"
)
</f>
        <v>acc_146</v>
      </c>
      <c r="C67" s="1" t="s">
        <v>49</v>
      </c>
      <c r="D67" s="3">
        <v>45926.0</v>
      </c>
      <c r="E67" s="1" t="s">
        <v>133</v>
      </c>
      <c r="F67" s="1" t="s">
        <v>12</v>
      </c>
      <c r="G67" s="1" t="s">
        <v>13</v>
      </c>
      <c r="H67" s="1" t="s">
        <v>19</v>
      </c>
      <c r="I67" s="1" t="s">
        <v>93</v>
      </c>
    </row>
    <row r="68">
      <c r="A68" s="1" t="s">
        <v>16</v>
      </c>
      <c r="B68" s="2" t="str">
        <f t="array" ref="B68">IFERROR(
  INDEX(accounts!A:A, MATCH(CLEAN(TRIM(UPPER(C68))), CLEAN(TRIM(UPPER(accounts!B:B))), 0)),
  "shopify"
)
</f>
        <v>acc_146</v>
      </c>
      <c r="C68" s="1" t="s">
        <v>49</v>
      </c>
      <c r="D68" s="3">
        <v>45926.0</v>
      </c>
      <c r="E68" s="1" t="s">
        <v>50</v>
      </c>
      <c r="F68" s="1" t="s">
        <v>12</v>
      </c>
      <c r="G68" s="1" t="s">
        <v>13</v>
      </c>
      <c r="H68" s="1" t="s">
        <v>19</v>
      </c>
      <c r="I68" s="1" t="s">
        <v>20</v>
      </c>
    </row>
    <row r="69">
      <c r="A69" s="1" t="s">
        <v>134</v>
      </c>
      <c r="B69" s="2" t="str">
        <f t="array" ref="B69">IFERROR(
  INDEX(accounts!A:A, MATCH(CLEAN(TRIM(UPPER(C69))), CLEAN(TRIM(UPPER(accounts!B:B))), 0)),
  "shopify"
)
</f>
        <v>shopify</v>
      </c>
      <c r="C69" s="1" t="s">
        <v>10</v>
      </c>
      <c r="D69" s="3">
        <v>45929.0</v>
      </c>
      <c r="E69" s="1" t="s">
        <v>33</v>
      </c>
      <c r="F69" s="1" t="s">
        <v>12</v>
      </c>
      <c r="G69" s="1" t="s">
        <v>13</v>
      </c>
      <c r="H69" s="1" t="s">
        <v>14</v>
      </c>
      <c r="I69" s="1" t="s">
        <v>30</v>
      </c>
    </row>
    <row r="70">
      <c r="A70" s="1" t="s">
        <v>135</v>
      </c>
      <c r="B70" s="2" t="str">
        <f t="array" ref="B70">IFERROR(
  INDEX(accounts!A:A, MATCH(CLEAN(TRIM(UPPER(C70))), CLEAN(TRIM(UPPER(accounts!B:B))), 0)),
  "shopify"
)
</f>
        <v>acc_153</v>
      </c>
      <c r="C70" s="1" t="s">
        <v>136</v>
      </c>
      <c r="D70" s="3">
        <v>45931.0</v>
      </c>
      <c r="E70" s="1" t="s">
        <v>107</v>
      </c>
      <c r="F70" s="1" t="s">
        <v>108</v>
      </c>
      <c r="G70" s="1" t="s">
        <v>109</v>
      </c>
      <c r="H70" s="1" t="s">
        <v>86</v>
      </c>
      <c r="I70" s="1" t="s">
        <v>30</v>
      </c>
    </row>
    <row r="71">
      <c r="A71" s="1" t="s">
        <v>137</v>
      </c>
      <c r="B71" s="2" t="str">
        <f t="array" ref="B71">IFERROR(
  INDEX(accounts!A:A, MATCH(CLEAN(TRIM(UPPER(C71))), CLEAN(TRIM(UPPER(accounts!B:B))), 0)),
  "shopify"
)
</f>
        <v>acc_117</v>
      </c>
      <c r="C71" s="1" t="s">
        <v>138</v>
      </c>
      <c r="D71" s="3">
        <v>45931.0</v>
      </c>
      <c r="E71" s="1" t="s">
        <v>18</v>
      </c>
      <c r="F71" s="1" t="s">
        <v>108</v>
      </c>
      <c r="G71" s="1" t="s">
        <v>109</v>
      </c>
      <c r="H71" s="1" t="s">
        <v>86</v>
      </c>
      <c r="I71" s="1" t="s">
        <v>93</v>
      </c>
    </row>
    <row r="72">
      <c r="A72" s="1" t="s">
        <v>139</v>
      </c>
      <c r="B72" s="2" t="str">
        <f t="array" ref="B72">IFERROR(
  INDEX(accounts!A:A, MATCH(CLEAN(TRIM(UPPER(C72))), CLEAN(TRIM(UPPER(accounts!B:B))), 0)),
  "shopify"
)
</f>
        <v>acc_152</v>
      </c>
      <c r="C72" s="1" t="s">
        <v>140</v>
      </c>
      <c r="D72" s="3">
        <v>45931.0</v>
      </c>
      <c r="E72" s="1" t="s">
        <v>107</v>
      </c>
      <c r="F72" s="1" t="s">
        <v>108</v>
      </c>
      <c r="G72" s="1" t="s">
        <v>109</v>
      </c>
      <c r="H72" s="1" t="s">
        <v>86</v>
      </c>
      <c r="I72" s="1" t="s">
        <v>30</v>
      </c>
    </row>
    <row r="73">
      <c r="A73" s="1" t="s">
        <v>141</v>
      </c>
      <c r="B73" s="2" t="str">
        <f t="array" ref="B73">IFERROR(
  INDEX(accounts!A:A, MATCH(CLEAN(TRIM(UPPER(C73))), CLEAN(TRIM(UPPER(accounts!B:B))), 0)),
  "shopify"
)
</f>
        <v>acc_001</v>
      </c>
      <c r="C73" s="1" t="s">
        <v>142</v>
      </c>
      <c r="D73" s="3">
        <v>45931.0</v>
      </c>
      <c r="E73" s="1" t="s">
        <v>35</v>
      </c>
      <c r="F73" s="1" t="s">
        <v>108</v>
      </c>
      <c r="G73" s="1" t="s">
        <v>109</v>
      </c>
      <c r="H73" s="1" t="s">
        <v>86</v>
      </c>
      <c r="I73" s="1" t="s">
        <v>25</v>
      </c>
    </row>
    <row r="74">
      <c r="A74" s="1" t="s">
        <v>143</v>
      </c>
      <c r="B74" s="2" t="str">
        <f t="array" ref="B74">IFERROR(
  INDEX(accounts!A:A, MATCH(CLEAN(TRIM(UPPER(C74))), CLEAN(TRIM(UPPER(accounts!B:B))), 0)),
  "shopify"
)
</f>
        <v>acc_154</v>
      </c>
      <c r="C74" s="1" t="s">
        <v>144</v>
      </c>
      <c r="D74" s="3">
        <v>45931.0</v>
      </c>
      <c r="E74" s="1" t="s">
        <v>145</v>
      </c>
      <c r="F74" s="1" t="s">
        <v>108</v>
      </c>
      <c r="G74" s="1" t="s">
        <v>109</v>
      </c>
      <c r="H74" s="1" t="s">
        <v>86</v>
      </c>
      <c r="I74" s="1" t="s">
        <v>20</v>
      </c>
    </row>
    <row r="75">
      <c r="A75" s="1" t="s">
        <v>146</v>
      </c>
      <c r="B75" s="2" t="str">
        <f t="array" ref="B75">IFERROR(
  INDEX(accounts!A:A, MATCH(CLEAN(TRIM(UPPER(C75))), CLEAN(TRIM(UPPER(accounts!B:B))), 0)),
  "shopify"
)
</f>
        <v>acc_147</v>
      </c>
      <c r="C75" s="1" t="s">
        <v>17</v>
      </c>
      <c r="D75" s="3">
        <v>45931.0</v>
      </c>
      <c r="E75" s="1" t="s">
        <v>145</v>
      </c>
      <c r="F75" s="1" t="s">
        <v>108</v>
      </c>
      <c r="G75" s="1" t="s">
        <v>109</v>
      </c>
      <c r="H75" s="1" t="s">
        <v>86</v>
      </c>
      <c r="I75" s="1" t="s">
        <v>20</v>
      </c>
    </row>
    <row r="76">
      <c r="A76" s="1" t="s">
        <v>147</v>
      </c>
      <c r="B76" s="2" t="str">
        <f t="array" ref="B76">IFERROR(
  INDEX(accounts!A:A, MATCH(CLEAN(TRIM(UPPER(C76))), CLEAN(TRIM(UPPER(accounts!B:B))), 0)),
  "shopify"
)
</f>
        <v>acc_160</v>
      </c>
      <c r="C76" s="1" t="s">
        <v>148</v>
      </c>
      <c r="D76" s="3">
        <v>45931.0</v>
      </c>
      <c r="E76" s="1" t="s">
        <v>107</v>
      </c>
      <c r="F76" s="1" t="s">
        <v>108</v>
      </c>
      <c r="G76" s="1" t="s">
        <v>109</v>
      </c>
      <c r="H76" s="1" t="s">
        <v>86</v>
      </c>
      <c r="I76" s="1" t="s">
        <v>30</v>
      </c>
    </row>
    <row r="77">
      <c r="A77" s="1" t="s">
        <v>149</v>
      </c>
      <c r="B77" s="2" t="str">
        <f t="array" ref="B77">IFERROR(
  INDEX(accounts!A:A, MATCH(CLEAN(TRIM(UPPER(C77))), CLEAN(TRIM(UPPER(accounts!B:B))), 0)),
  "shopify"
)
</f>
        <v>acc_027</v>
      </c>
      <c r="C77" s="1" t="s">
        <v>150</v>
      </c>
      <c r="D77" s="3">
        <v>45931.0</v>
      </c>
      <c r="E77" s="1" t="s">
        <v>18</v>
      </c>
      <c r="F77" s="1" t="s">
        <v>108</v>
      </c>
      <c r="G77" s="1" t="s">
        <v>109</v>
      </c>
      <c r="H77" s="1" t="s">
        <v>86</v>
      </c>
      <c r="I77" s="1" t="s">
        <v>93</v>
      </c>
    </row>
    <row r="78">
      <c r="A78" s="1" t="s">
        <v>151</v>
      </c>
      <c r="B78" s="2" t="str">
        <f t="array" ref="B78">IFERROR(
  INDEX(accounts!A:A, MATCH(CLEAN(TRIM(UPPER(C78))), CLEAN(TRIM(UPPER(accounts!B:B))), 0)),
  "shopify"
)
</f>
        <v>acc_036</v>
      </c>
      <c r="C78" s="1" t="s">
        <v>152</v>
      </c>
      <c r="D78" s="3">
        <v>45931.0</v>
      </c>
      <c r="E78" s="1" t="s">
        <v>107</v>
      </c>
      <c r="F78" s="1" t="s">
        <v>108</v>
      </c>
      <c r="G78" s="1" t="s">
        <v>109</v>
      </c>
      <c r="H78" s="1" t="s">
        <v>86</v>
      </c>
      <c r="I78" s="1" t="s">
        <v>30</v>
      </c>
    </row>
    <row r="79">
      <c r="A79" s="1" t="s">
        <v>153</v>
      </c>
      <c r="B79" s="2" t="str">
        <f t="array" ref="B79">IFERROR(
  INDEX(accounts!A:A, MATCH(CLEAN(TRIM(UPPER(C79))), CLEAN(TRIM(UPPER(accounts!B:B))), 0)),
  "shopify"
)
</f>
        <v>acc_155</v>
      </c>
      <c r="C79" s="1" t="s">
        <v>154</v>
      </c>
      <c r="D79" s="3">
        <v>45931.0</v>
      </c>
      <c r="E79" s="1" t="s">
        <v>107</v>
      </c>
      <c r="F79" s="1" t="s">
        <v>108</v>
      </c>
      <c r="G79" s="1" t="s">
        <v>109</v>
      </c>
      <c r="H79" s="1" t="s">
        <v>86</v>
      </c>
      <c r="I79" s="1" t="s">
        <v>30</v>
      </c>
    </row>
    <row r="80">
      <c r="A80" s="1" t="s">
        <v>155</v>
      </c>
      <c r="B80" s="2" t="str">
        <f t="array" ref="B80">IFERROR(
  INDEX(accounts!A:A, MATCH(CLEAN(TRIM(UPPER(C80))), CLEAN(TRIM(UPPER(accounts!B:B))), 0)),
  "shopify"
)
</f>
        <v>acc_097</v>
      </c>
      <c r="C80" s="1" t="s">
        <v>156</v>
      </c>
      <c r="D80" s="3">
        <v>45931.0</v>
      </c>
      <c r="E80" s="1" t="s">
        <v>18</v>
      </c>
      <c r="F80" s="1" t="s">
        <v>108</v>
      </c>
      <c r="G80" s="1" t="s">
        <v>109</v>
      </c>
      <c r="H80" s="1" t="s">
        <v>86</v>
      </c>
      <c r="I80" s="1" t="s">
        <v>93</v>
      </c>
    </row>
    <row r="81">
      <c r="A81" s="1" t="s">
        <v>157</v>
      </c>
      <c r="B81" s="2" t="str">
        <f t="array" ref="B81">IFERROR(
  INDEX(accounts!A:A, MATCH(CLEAN(TRIM(UPPER(C81))), CLEAN(TRIM(UPPER(accounts!B:B))), 0)),
  "shopify"
)
</f>
        <v>shopify</v>
      </c>
      <c r="C81" s="1" t="s">
        <v>158</v>
      </c>
      <c r="D81" s="3">
        <v>45931.0</v>
      </c>
      <c r="E81" s="1" t="s">
        <v>18</v>
      </c>
      <c r="F81" s="1" t="s">
        <v>108</v>
      </c>
      <c r="G81" s="1" t="s">
        <v>109</v>
      </c>
      <c r="H81" s="1" t="s">
        <v>86</v>
      </c>
      <c r="I81" s="1" t="s">
        <v>93</v>
      </c>
    </row>
    <row r="82">
      <c r="A82" s="1" t="s">
        <v>159</v>
      </c>
      <c r="B82" s="2" t="str">
        <f t="array" ref="B82">IFERROR(
  INDEX(accounts!A:A, MATCH(CLEAN(TRIM(UPPER(C82))), CLEAN(TRIM(UPPER(accounts!B:B))), 0)),
  "shopify"
)
</f>
        <v>acc_029</v>
      </c>
      <c r="C82" s="1" t="s">
        <v>160</v>
      </c>
      <c r="D82" s="3">
        <v>45931.0</v>
      </c>
      <c r="E82" s="1" t="s">
        <v>107</v>
      </c>
      <c r="F82" s="1" t="s">
        <v>108</v>
      </c>
      <c r="G82" s="1" t="s">
        <v>109</v>
      </c>
      <c r="H82" s="1" t="s">
        <v>86</v>
      </c>
      <c r="I82" s="1" t="s">
        <v>30</v>
      </c>
    </row>
    <row r="83">
      <c r="A83" s="1" t="s">
        <v>161</v>
      </c>
      <c r="B83" s="2" t="str">
        <f t="array" ref="B83">IFERROR(
  INDEX(accounts!A:A, MATCH(CLEAN(TRIM(UPPER(C83))), CLEAN(TRIM(UPPER(accounts!B:B))), 0)),
  "shopify"
)
</f>
        <v>acc_049</v>
      </c>
      <c r="C83" s="1" t="s">
        <v>162</v>
      </c>
      <c r="D83" s="3">
        <v>45931.0</v>
      </c>
      <c r="E83" s="1" t="s">
        <v>107</v>
      </c>
      <c r="F83" s="1" t="s">
        <v>108</v>
      </c>
      <c r="G83" s="1" t="s">
        <v>109</v>
      </c>
      <c r="H83" s="1" t="s">
        <v>86</v>
      </c>
      <c r="I83" s="1" t="s">
        <v>30</v>
      </c>
    </row>
    <row r="84">
      <c r="A84" s="1" t="s">
        <v>163</v>
      </c>
      <c r="B84" s="2" t="str">
        <f t="array" ref="B84">IFERROR(
  INDEX(accounts!A:A, MATCH(CLEAN(TRIM(UPPER(C84))), CLEAN(TRIM(UPPER(accounts!B:B))), 0)),
  "shopify"
)
</f>
        <v>acc_024</v>
      </c>
      <c r="C84" s="1" t="s">
        <v>164</v>
      </c>
      <c r="D84" s="3">
        <v>45931.0</v>
      </c>
      <c r="E84" s="1" t="s">
        <v>18</v>
      </c>
      <c r="F84" s="1" t="s">
        <v>108</v>
      </c>
      <c r="G84" s="1" t="s">
        <v>109</v>
      </c>
      <c r="H84" s="1" t="s">
        <v>86</v>
      </c>
      <c r="I84" s="1" t="s">
        <v>93</v>
      </c>
    </row>
    <row r="85">
      <c r="A85" s="1" t="s">
        <v>165</v>
      </c>
      <c r="B85" s="2" t="str">
        <f t="array" ref="B85">IFERROR(
  INDEX(accounts!A:A, MATCH(CLEAN(TRIM(UPPER(C85))), CLEAN(TRIM(UPPER(accounts!B:B))), 0)),
  "shopify"
)
</f>
        <v>acc_159</v>
      </c>
      <c r="C85" s="1" t="s">
        <v>166</v>
      </c>
      <c r="D85" s="3">
        <v>45931.0</v>
      </c>
      <c r="E85" s="1" t="s">
        <v>107</v>
      </c>
      <c r="F85" s="1" t="s">
        <v>108</v>
      </c>
      <c r="G85" s="1" t="s">
        <v>109</v>
      </c>
      <c r="H85" s="1" t="s">
        <v>86</v>
      </c>
      <c r="I85" s="1" t="s">
        <v>30</v>
      </c>
    </row>
    <row r="86">
      <c r="A86" s="1" t="s">
        <v>167</v>
      </c>
      <c r="B86" s="2" t="str">
        <f t="array" ref="B86">IFERROR(
  INDEX(accounts!A:A, MATCH(CLEAN(TRIM(UPPER(C86))), CLEAN(TRIM(UPPER(accounts!B:B))), 0)),
  "shopify"
)
</f>
        <v>acc_120</v>
      </c>
      <c r="C86" s="1" t="s">
        <v>168</v>
      </c>
      <c r="D86" s="3">
        <v>45931.0</v>
      </c>
      <c r="E86" s="1" t="s">
        <v>18</v>
      </c>
      <c r="F86" s="1" t="s">
        <v>108</v>
      </c>
      <c r="G86" s="1" t="s">
        <v>109</v>
      </c>
      <c r="H86" s="1" t="s">
        <v>86</v>
      </c>
      <c r="I86" s="1" t="s">
        <v>93</v>
      </c>
    </row>
    <row r="87">
      <c r="A87" s="1" t="s">
        <v>169</v>
      </c>
      <c r="B87" s="2" t="str">
        <f t="array" ref="B87">IFERROR(
  INDEX(accounts!A:A, MATCH(CLEAN(TRIM(UPPER(C87))), CLEAN(TRIM(UPPER(accounts!B:B))), 0)),
  "shopify"
)
</f>
        <v>acc_121</v>
      </c>
      <c r="C87" s="1" t="s">
        <v>170</v>
      </c>
      <c r="D87" s="3">
        <v>45931.0</v>
      </c>
      <c r="E87" s="1" t="s">
        <v>35</v>
      </c>
      <c r="F87" s="1" t="s">
        <v>108</v>
      </c>
      <c r="G87" s="1" t="s">
        <v>109</v>
      </c>
      <c r="H87" s="1" t="s">
        <v>86</v>
      </c>
      <c r="I87" s="1" t="s">
        <v>25</v>
      </c>
    </row>
    <row r="88">
      <c r="A88" s="1" t="s">
        <v>171</v>
      </c>
      <c r="B88" s="2" t="str">
        <f t="array" ref="B88">IFERROR(
  INDEX(accounts!A:A, MATCH(CLEAN(TRIM(UPPER(C88))), CLEAN(TRIM(UPPER(accounts!B:B))), 0)),
  "shopify"
)
</f>
        <v>acc_122</v>
      </c>
      <c r="C88" s="1" t="s">
        <v>172</v>
      </c>
      <c r="D88" s="3">
        <v>45931.0</v>
      </c>
      <c r="E88" s="1" t="s">
        <v>35</v>
      </c>
      <c r="F88" s="1" t="s">
        <v>108</v>
      </c>
      <c r="G88" s="1" t="s">
        <v>109</v>
      </c>
      <c r="H88" s="1" t="s">
        <v>86</v>
      </c>
      <c r="I88" s="1" t="s">
        <v>25</v>
      </c>
    </row>
    <row r="89">
      <c r="A89" s="1" t="s">
        <v>173</v>
      </c>
      <c r="B89" s="2" t="str">
        <f t="array" ref="B89">IFERROR(
  INDEX(accounts!A:A, MATCH(CLEAN(TRIM(UPPER(C89))), CLEAN(TRIM(UPPER(accounts!B:B))), 0)),
  "shopify"
)
</f>
        <v>acc_096</v>
      </c>
      <c r="C89" s="1" t="s">
        <v>174</v>
      </c>
      <c r="D89" s="3">
        <v>45938.0</v>
      </c>
      <c r="E89" s="1" t="s">
        <v>35</v>
      </c>
      <c r="F89" s="1" t="s">
        <v>108</v>
      </c>
      <c r="G89" s="1" t="s">
        <v>109</v>
      </c>
      <c r="H89" s="1" t="s">
        <v>86</v>
      </c>
      <c r="I89" s="1" t="s">
        <v>25</v>
      </c>
    </row>
    <row r="90">
      <c r="A90" s="1" t="s">
        <v>175</v>
      </c>
      <c r="B90" s="2" t="str">
        <f t="array" ref="B90">IFERROR(
  INDEX(accounts!A:A, MATCH(CLEAN(TRIM(UPPER(C90))), CLEAN(TRIM(UPPER(accounts!B:B))), 0)),
  "shopify"
)
</f>
        <v>acc_002</v>
      </c>
      <c r="C90" s="1" t="s">
        <v>176</v>
      </c>
      <c r="D90" s="3">
        <v>45969.0</v>
      </c>
      <c r="E90" s="1" t="s">
        <v>35</v>
      </c>
      <c r="F90" s="1" t="s">
        <v>108</v>
      </c>
      <c r="G90" s="1" t="s">
        <v>109</v>
      </c>
      <c r="H90" s="1" t="s">
        <v>86</v>
      </c>
      <c r="I90" s="1" t="s">
        <v>25</v>
      </c>
    </row>
    <row r="91">
      <c r="A91" s="1" t="s">
        <v>177</v>
      </c>
      <c r="B91" s="2" t="str">
        <f t="array" ref="B91">IFERROR(
  INDEX(accounts!A:A, MATCH(CLEAN(TRIM(UPPER(C91))), CLEAN(TRIM(UPPER(accounts!B:B))), 0)),
  "shopify"
)
</f>
        <v>acc_118</v>
      </c>
      <c r="C91" s="1" t="s">
        <v>178</v>
      </c>
      <c r="D91" s="3">
        <v>45999.0</v>
      </c>
      <c r="E91" s="1" t="s">
        <v>179</v>
      </c>
      <c r="F91" s="1" t="s">
        <v>108</v>
      </c>
      <c r="G91" s="1" t="s">
        <v>109</v>
      </c>
      <c r="H91" s="1" t="s">
        <v>86</v>
      </c>
      <c r="I91" s="1" t="s">
        <v>180</v>
      </c>
    </row>
    <row r="92">
      <c r="A92" s="1" t="s">
        <v>181</v>
      </c>
      <c r="B92" s="2" t="str">
        <f t="array" ref="B92">IFERROR(
  INDEX(accounts!A:A, MATCH(CLEAN(TRIM(UPPER(C92))), CLEAN(TRIM(UPPER(accounts!B:B))), 0)),
  "shopify"
)
</f>
        <v>shopify</v>
      </c>
      <c r="C92" s="1" t="s">
        <v>182</v>
      </c>
      <c r="D92" s="3">
        <v>46001.0</v>
      </c>
      <c r="E92" s="1" t="s">
        <v>183</v>
      </c>
      <c r="F92" s="1" t="s">
        <v>12</v>
      </c>
      <c r="G92" s="1" t="s">
        <v>13</v>
      </c>
      <c r="H92" s="1" t="s">
        <v>86</v>
      </c>
      <c r="I92" s="1" t="s">
        <v>46</v>
      </c>
    </row>
    <row r="93">
      <c r="A93" s="1" t="s">
        <v>134</v>
      </c>
      <c r="B93" s="2" t="str">
        <f t="array" ref="B93">IFERROR(
  INDEX(accounts!A:A, MATCH(CLEAN(TRIM(UPPER(C93))), CLEAN(TRIM(UPPER(accounts!B:B))), 0)),
  "shopify"
)
</f>
        <v>shopify</v>
      </c>
      <c r="C93" s="1" t="s">
        <v>10</v>
      </c>
      <c r="E93" s="1" t="s">
        <v>62</v>
      </c>
      <c r="F93" s="1" t="s">
        <v>12</v>
      </c>
      <c r="G93" s="1" t="s">
        <v>13</v>
      </c>
      <c r="H93" s="1" t="s">
        <v>14</v>
      </c>
      <c r="I93" s="1" t="s">
        <v>82</v>
      </c>
    </row>
    <row r="94">
      <c r="B94" s="6"/>
    </row>
    <row r="95">
      <c r="B95" s="6"/>
    </row>
    <row r="96">
      <c r="B96" s="6"/>
    </row>
    <row r="97">
      <c r="B97" s="7"/>
    </row>
    <row r="98">
      <c r="B9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30.43"/>
    <col customWidth="1" min="5" max="5" width="14.71"/>
    <col customWidth="1" min="9" max="9" width="18.86"/>
    <col customWidth="1" min="20" max="20" width="55.0"/>
  </cols>
  <sheetData>
    <row r="1">
      <c r="A1" s="8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K1" s="1" t="s">
        <v>190</v>
      </c>
      <c r="L1" s="1" t="s">
        <v>189</v>
      </c>
      <c r="M1" s="9" t="s">
        <v>193</v>
      </c>
      <c r="N1" s="1" t="s">
        <v>187</v>
      </c>
      <c r="O1" s="1" t="s">
        <v>187</v>
      </c>
      <c r="P1" s="1"/>
      <c r="Q1" s="1" t="s">
        <v>194</v>
      </c>
    </row>
    <row r="2">
      <c r="A2" s="1" t="s">
        <v>195</v>
      </c>
      <c r="B2" s="10" t="s">
        <v>142</v>
      </c>
      <c r="C2" s="11" t="str">
        <f>IFERROR(__xludf.DUMMYFUNCTION("IFS(
  REGEXMATCH(LOWER(TRIM(N2)),""nico""), ""us_001"",
  REGEXMATCH(LOWER(TRIM(N2)),""alfonso""), ""us_002"",
  REGEXMATCH(LOWER(TRIM(N2)),""patxi""), ""us_003"",
  REGEXMATCH(LOWER(TRIM(N2)),""martin""), ""us_004"",
  TRUE, ""us_999""
)"),"us_002")</f>
        <v>us_002</v>
      </c>
      <c r="D2" s="11" t="str">
        <f>IFERROR(__xludf.DUMMYFUNCTION("ARRAYFORMULA(
  IF(N2:N999="""",
    ,
    IFS(
      REGEXMATCH(LOWER(TRIM(N2:N999)),""nico""), ""us_001"",
      REGEXMATCH(LOWER(TRIM(N2:N999)),""alfonso""), ""us_002"",
      REGEXMATCH(LOWER(TRIM(N2:N999)),""patxi""), ""us_003"",
      REGEXMATCH(LOW"&amp;"ER(TRIM(N2:N999)),""martin""), ""us_004"",
      TRUE, ""us_999""
    )
  )
)
"),"us_002")</f>
        <v>us_002</v>
      </c>
      <c r="E2" s="11" t="s">
        <v>196</v>
      </c>
      <c r="F2" s="11" t="str">
        <f>IFERROR(__xludf.DUMMYFUNCTION("LET(
  s, UPPER(TRIM(N2)),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"),"SEGUIMIENTO")</f>
        <v>SEGUIMIENTO</v>
      </c>
      <c r="G2" s="1" t="s">
        <v>197</v>
      </c>
      <c r="H2" s="12" t="str">
        <f>IFERROR(__xludf.DUMMYFUNCTION("IFS(
  REGEXMATCH(LOWER(TRIM(U2)),""barcelona""), ""acc_139"",
  REGEXMATCH(LOWER(TRIM(U2)),""madrid""), ""acc_148"",
  REGEXMATCH(LOWER(TRIM(U2)),""zaragoza""), ""acc_149"",
  REGEXMATCH(LOWER(TRIM(U2)),""ibiza""), ""acc_140"",
  REGEXMATCH(LOWER(TRIM(U2"&amp;")),""mallorca""), ""acc_140"",
  REGEXMATCH(LOWER(TRIM(U2)),""menorca""), ""acc_150"",
  TRUE, """"
)
"),"acc_148")</f>
        <v>acc_148</v>
      </c>
      <c r="I2" s="10" t="s">
        <v>198</v>
      </c>
      <c r="K2" s="1" t="s">
        <v>197</v>
      </c>
      <c r="L2" s="11" t="str">
        <f>IFERROR(__xludf.DUMMYFUNCTION("LET(
  s, UPPER(TRIM(T2)),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"),"ACTIVA")</f>
        <v>ACTIVA</v>
      </c>
      <c r="M2" s="13"/>
      <c r="N2" s="10" t="str">
        <f t="shared" ref="N2:O2" si="1">V2</f>
        <v>Alfonso </v>
      </c>
      <c r="O2" s="10" t="str">
        <f t="shared" si="1"/>
        <v>2 cajas</v>
      </c>
      <c r="P2" s="10"/>
      <c r="Q2" s="10"/>
      <c r="S2" s="14" t="b">
        <v>1</v>
      </c>
      <c r="T2" s="14" t="s">
        <v>199</v>
      </c>
      <c r="U2" s="14" t="s">
        <v>200</v>
      </c>
      <c r="V2" s="14" t="s">
        <v>201</v>
      </c>
      <c r="W2" s="10" t="s">
        <v>202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</row>
    <row r="3">
      <c r="A3" s="1" t="s">
        <v>203</v>
      </c>
      <c r="B3" s="10" t="s">
        <v>204</v>
      </c>
      <c r="C3" s="11" t="str">
        <f>IFERROR(__xludf.DUMMYFUNCTION("IFS(
  REGEXMATCH(LOWER(TRIM(N3)),""nico""), ""us_001"",
  REGEXMATCH(LOWER(TRIM(N3)),""alfonso""), ""us_002"",
  REGEXMATCH(LOWER(TRIM(N3)),""patxi""), ""us_003"",
  REGEXMATCH(LOWER(TRIM(N3)),""martin""), ""us_004"",
  TRUE, ""us_999""
)"),"us_001")</f>
        <v>us_001</v>
      </c>
      <c r="D3" s="11" t="str">
        <f>IFERROR(__xludf.DUMMYFUNCTION("""COMPUTED_VALUE"""),"us_001")</f>
        <v>us_001</v>
      </c>
      <c r="E3" s="11" t="s">
        <v>196</v>
      </c>
      <c r="F3" s="11" t="str">
        <f>IFERROR(__xludf.DUMMYFUNCTION("LET(
  s, UPPER(TRIM(N3)),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"),"SEGUIMIENTO")</f>
        <v>SEGUIMIENTO</v>
      </c>
      <c r="G3" s="1" t="s">
        <v>197</v>
      </c>
      <c r="H3" s="12" t="str">
        <f>IFERROR(__xludf.DUMMYFUNCTION("IFS(
  REGEXMATCH(LOWER(TRIM(U3)),""barcelona""), ""acc_139"",
  REGEXMATCH(LOWER(TRIM(U3)),""madrid""), ""acc_148"",
  REGEXMATCH(LOWER(TRIM(U3)),""zaragoza""), ""acc_149"",
  REGEXMATCH(LOWER(TRIM(U3)),""ibiza""), ""acc_140"",
  REGEXMATCH(LOWER(TRIM(U3"&amp;")),""mallorca""), ""acc_140"",
  REGEXMATCH(LOWER(TRIM(U3)),""menorca""), ""acc_150"",
  TRUE, """"
)
"),"acc_148")</f>
        <v>acc_148</v>
      </c>
      <c r="I3" s="10" t="s">
        <v>205</v>
      </c>
      <c r="K3" s="1" t="s">
        <v>197</v>
      </c>
      <c r="L3" s="11" t="str">
        <f>IFERROR(__xludf.DUMMYFUNCTION("LET(
  s, UPPER(TRIM(T3)),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"),"ACTIVA")</f>
        <v>ACTIVA</v>
      </c>
      <c r="M3" s="15"/>
      <c r="N3" s="10" t="str">
        <f t="shared" ref="N3:O3" si="2">V3</f>
        <v>Nico</v>
      </c>
      <c r="O3" s="10" t="str">
        <f t="shared" si="2"/>
        <v>2 cajas </v>
      </c>
      <c r="P3" s="10"/>
      <c r="Q3" s="10"/>
      <c r="S3" s="14" t="b">
        <v>1</v>
      </c>
      <c r="T3" s="14" t="s">
        <v>199</v>
      </c>
      <c r="U3" s="14" t="s">
        <v>200</v>
      </c>
      <c r="V3" s="14" t="s">
        <v>206</v>
      </c>
      <c r="W3" s="10" t="s">
        <v>207</v>
      </c>
      <c r="X3" s="10"/>
      <c r="Y3" s="10" t="s">
        <v>208</v>
      </c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>
      <c r="A4" s="1" t="s">
        <v>209</v>
      </c>
      <c r="B4" s="10" t="s">
        <v>210</v>
      </c>
      <c r="C4" s="11" t="str">
        <f>IFERROR(__xludf.DUMMYFUNCTION("IFS(
  REGEXMATCH(LOWER(TRIM(N4)),""nico""), ""us_001"",
  REGEXMATCH(LOWER(TRIM(N4)),""alfonso""), ""us_002"",
  REGEXMATCH(LOWER(TRIM(N4)),""patxi""), ""us_003"",
  REGEXMATCH(LOWER(TRIM(N4)),""martin""), ""us_004"",
  TRUE, ""us_999""
)"),"us_001")</f>
        <v>us_001</v>
      </c>
      <c r="D4" s="11" t="str">
        <f>IFERROR(__xludf.DUMMYFUNCTION("""COMPUTED_VALUE"""),"us_001")</f>
        <v>us_001</v>
      </c>
      <c r="E4" s="11" t="s">
        <v>196</v>
      </c>
      <c r="F4" s="11" t="str">
        <f>IFERROR(__xludf.DUMMYFUNCTION("LET(
  s, UPPER(TRIM(N4)),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"),"SEGUIMIENTO")</f>
        <v>SEGUIMIENTO</v>
      </c>
      <c r="G4" s="1" t="s">
        <v>197</v>
      </c>
      <c r="H4" s="12" t="str">
        <f>IFERROR(__xludf.DUMMYFUNCTION("IFS(
  REGEXMATCH(LOWER(TRIM(U4)),""barcelona""), ""acc_139"",
  REGEXMATCH(LOWER(TRIM(U4)),""madrid""), ""acc_148"",
  REGEXMATCH(LOWER(TRIM(U4)),""zaragoza""), ""acc_149"",
  REGEXMATCH(LOWER(TRIM(U4)),""ibiza""), ""acc_140"",
  REGEXMATCH(LOWER(TRIM(U4"&amp;")),""mallorca""), ""acc_140"",
  REGEXMATCH(LOWER(TRIM(U4)),""menorca""), ""acc_150"",
  TRUE, """"
)
"),"acc_148")</f>
        <v>acc_148</v>
      </c>
      <c r="I4" s="10" t="s">
        <v>211</v>
      </c>
      <c r="K4" s="1" t="s">
        <v>197</v>
      </c>
      <c r="L4" s="11" t="str">
        <f>IFERROR(__xludf.DUMMYFUNCTION("LET(
  s, UPPER(TRIM(T4)),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"),"ACTIVA")</f>
        <v>ACTIVA</v>
      </c>
      <c r="M4" s="15"/>
      <c r="N4" s="10" t="str">
        <f t="shared" ref="N4:O4" si="3">V4</f>
        <v>Nico</v>
      </c>
      <c r="O4" s="10" t="str">
        <f t="shared" si="3"/>
        <v/>
      </c>
      <c r="P4" s="10"/>
      <c r="Q4" s="10"/>
      <c r="S4" s="14" t="b">
        <v>1</v>
      </c>
      <c r="T4" s="14" t="s">
        <v>199</v>
      </c>
      <c r="U4" s="14" t="s">
        <v>200</v>
      </c>
      <c r="V4" s="14" t="s">
        <v>206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</row>
    <row r="5">
      <c r="A5" s="1" t="s">
        <v>212</v>
      </c>
      <c r="B5" s="10" t="s">
        <v>213</v>
      </c>
      <c r="C5" s="11" t="str">
        <f>IFERROR(__xludf.DUMMYFUNCTION("IFS(
  REGEXMATCH(LOWER(TRIM(N5)),""nico""), ""us_001"",
  REGEXMATCH(LOWER(TRIM(N5)),""alfonso""), ""us_002"",
  REGEXMATCH(LOWER(TRIM(N5)),""patxi""), ""us_003"",
  REGEXMATCH(LOWER(TRIM(N5)),""martin""), ""us_004"",
  TRUE, ""us_999""
)"),"us_001")</f>
        <v>us_001</v>
      </c>
      <c r="D5" s="11" t="str">
        <f>IFERROR(__xludf.DUMMYFUNCTION("""COMPUTED_VALUE"""),"us_001")</f>
        <v>us_001</v>
      </c>
      <c r="E5" s="11" t="s">
        <v>196</v>
      </c>
      <c r="F5" s="11" t="str">
        <f>IFERROR(__xludf.DUMMYFUNCTION("LET(
  s, UPPER(TRIM(N5)),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"),"SEGUIMIENTO")</f>
        <v>SEGUIMIENTO</v>
      </c>
      <c r="G5" s="1" t="s">
        <v>197</v>
      </c>
      <c r="H5" s="12" t="str">
        <f>IFERROR(__xludf.DUMMYFUNCTION("IFS(
  REGEXMATCH(LOWER(TRIM(U5)),""barcelona""), ""acc_139"",
  REGEXMATCH(LOWER(TRIM(U5)),""madrid""), ""acc_148"",
  REGEXMATCH(LOWER(TRIM(U5)),""zaragoza""), ""acc_149"",
  REGEXMATCH(LOWER(TRIM(U5)),""ibiza""), ""acc_140"",
  REGEXMATCH(LOWER(TRIM(U5"&amp;")),""mallorca""), ""acc_140"",
  REGEXMATCH(LOWER(TRIM(U5)),""menorca""), ""acc_150"",
  TRUE, """"
)
"),"acc_149")</f>
        <v>acc_149</v>
      </c>
      <c r="I5" s="10" t="s">
        <v>214</v>
      </c>
      <c r="K5" s="1" t="s">
        <v>197</v>
      </c>
      <c r="L5" s="11" t="str">
        <f>IFERROR(__xludf.DUMMYFUNCTION("LET(
  s, UPPER(TRIM(T5)),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"),"ACTIVA")</f>
        <v>ACTIVA</v>
      </c>
      <c r="M5" s="15"/>
      <c r="N5" s="10" t="str">
        <f t="shared" ref="N5:O5" si="4">V5</f>
        <v>Nico</v>
      </c>
      <c r="O5" s="10" t="str">
        <f t="shared" si="4"/>
        <v/>
      </c>
      <c r="P5" s="10"/>
      <c r="Q5" s="10"/>
      <c r="S5" s="14" t="b">
        <v>1</v>
      </c>
      <c r="T5" s="14" t="s">
        <v>199</v>
      </c>
      <c r="U5" s="14" t="s">
        <v>215</v>
      </c>
      <c r="V5" s="14" t="s">
        <v>206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</row>
    <row r="6">
      <c r="A6" s="1" t="s">
        <v>216</v>
      </c>
      <c r="B6" s="10" t="s">
        <v>217</v>
      </c>
      <c r="C6" s="11" t="str">
        <f>IFERROR(__xludf.DUMMYFUNCTION("IFS(
  REGEXMATCH(LOWER(TRIM(N6)),""nico""), ""us_001"",
  REGEXMATCH(LOWER(TRIM(N6)),""alfonso""), ""us_002"",
  REGEXMATCH(LOWER(TRIM(N6)),""patxi""), ""us_003"",
  REGEXMATCH(LOWER(TRIM(N6)),""martin""), ""us_004"",
  TRUE, ""us_999""
)"),"us_001")</f>
        <v>us_001</v>
      </c>
      <c r="D6" s="11" t="str">
        <f>IFERROR(__xludf.DUMMYFUNCTION("""COMPUTED_VALUE"""),"us_001")</f>
        <v>us_001</v>
      </c>
      <c r="E6" s="11" t="s">
        <v>196</v>
      </c>
      <c r="F6" s="11" t="str">
        <f>IFERROR(__xludf.DUMMYFUNCTION("LET(
  s, UPPER(TRIM(N6)),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"),"SEGUIMIENTO")</f>
        <v>SEGUIMIENTO</v>
      </c>
      <c r="G6" s="1" t="s">
        <v>197</v>
      </c>
      <c r="H6" s="12" t="str">
        <f>IFERROR(__xludf.DUMMYFUNCTION("IFS(
  REGEXMATCH(LOWER(TRIM(U6)),""barcelona""), ""acc_139"",
  REGEXMATCH(LOWER(TRIM(U6)),""madrid""), ""acc_148"",
  REGEXMATCH(LOWER(TRIM(U6)),""zaragoza""), ""acc_149"",
  REGEXMATCH(LOWER(TRIM(U6)),""ibiza""), ""acc_140"",
  REGEXMATCH(LOWER(TRIM(U6"&amp;")),""mallorca""), ""acc_140"",
  REGEXMATCH(LOWER(TRIM(U6)),""menorca""), ""acc_150"",
  TRUE, """"
)
"),"acc_148")</f>
        <v>acc_148</v>
      </c>
      <c r="I6" s="10" t="s">
        <v>218</v>
      </c>
      <c r="K6" s="1" t="s">
        <v>197</v>
      </c>
      <c r="L6" s="11" t="str">
        <f>IFERROR(__xludf.DUMMYFUNCTION("LET(
  s, UPPER(TRIM(T6)),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"),"ACTIVA")</f>
        <v>ACTIVA</v>
      </c>
      <c r="M6" s="15"/>
      <c r="N6" s="10" t="str">
        <f t="shared" ref="N6:O6" si="5">V6</f>
        <v>Nico</v>
      </c>
      <c r="O6" s="10" t="str">
        <f t="shared" si="5"/>
        <v/>
      </c>
      <c r="P6" s="10"/>
      <c r="Q6" s="10"/>
      <c r="S6" s="14" t="b">
        <v>1</v>
      </c>
      <c r="T6" s="14" t="s">
        <v>199</v>
      </c>
      <c r="U6" s="14" t="s">
        <v>200</v>
      </c>
      <c r="V6" s="14" t="s">
        <v>206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</row>
    <row r="7">
      <c r="A7" s="1" t="s">
        <v>219</v>
      </c>
      <c r="B7" s="10" t="s">
        <v>220</v>
      </c>
      <c r="C7" s="11" t="str">
        <f>IFERROR(__xludf.DUMMYFUNCTION("IFS(
  REGEXMATCH(LOWER(TRIM(N7)),""nico""), ""us_001"",
  REGEXMATCH(LOWER(TRIM(N7)),""alfonso""), ""us_002"",
  REGEXMATCH(LOWER(TRIM(N7)),""patxi""), ""us_003"",
  REGEXMATCH(LOWER(TRIM(N7)),""martin""), ""us_004"",
  TRUE, ""us_999""
)"),"us_003")</f>
        <v>us_003</v>
      </c>
      <c r="D7" s="11" t="str">
        <f>IFERROR(__xludf.DUMMYFUNCTION("""COMPUTED_VALUE"""),"us_003")</f>
        <v>us_003</v>
      </c>
      <c r="E7" s="11" t="s">
        <v>196</v>
      </c>
      <c r="F7" s="11" t="str">
        <f>IFERROR(__xludf.DUMMYFUNCTION("LET(
  s, UPPER(TRIM(N7)),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"),"SEGUIMIENTO")</f>
        <v>SEGUIMIENTO</v>
      </c>
      <c r="G7" s="1" t="s">
        <v>197</v>
      </c>
      <c r="H7" s="12" t="str">
        <f>IFERROR(__xludf.DUMMYFUNCTION("IFS(
  REGEXMATCH(LOWER(TRIM(U7)),""barcelona""), ""acc_139"",
  REGEXMATCH(LOWER(TRIM(U7)),""madrid""), ""acc_148"",
  REGEXMATCH(LOWER(TRIM(U7)),""zaragoza""), ""acc_149"",
  REGEXMATCH(LOWER(TRIM(U7)),""ibiza""), ""acc_140"",
  REGEXMATCH(LOWER(TRIM(U7"&amp;")),""mallorca""), ""acc_140"",
  REGEXMATCH(LOWER(TRIM(U7)),""menorca""), ""acc_150"",
  TRUE, """"
)
"),"acc_150")</f>
        <v>acc_150</v>
      </c>
      <c r="I7" s="10"/>
      <c r="K7" s="1" t="s">
        <v>197</v>
      </c>
      <c r="L7" s="11" t="str">
        <f>IFERROR(__xludf.DUMMYFUNCTION("LET(
  s, UPPER(TRIM(T7)),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"),"ACTIVA")</f>
        <v>ACTIVA</v>
      </c>
      <c r="M7" s="15"/>
      <c r="N7" s="10" t="str">
        <f t="shared" ref="N7:O7" si="6">V7</f>
        <v>Patxi </v>
      </c>
      <c r="O7" s="10" t="str">
        <f t="shared" si="6"/>
        <v/>
      </c>
      <c r="P7" s="10"/>
      <c r="Q7" s="10"/>
      <c r="S7" s="14" t="b">
        <v>0</v>
      </c>
      <c r="T7" s="14" t="s">
        <v>199</v>
      </c>
      <c r="U7" s="14" t="s">
        <v>221</v>
      </c>
      <c r="V7" s="14" t="s">
        <v>222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>
      <c r="A8" s="1" t="s">
        <v>223</v>
      </c>
      <c r="B8" s="10" t="s">
        <v>224</v>
      </c>
      <c r="C8" s="11" t="str">
        <f>IFERROR(__xludf.DUMMYFUNCTION("IFS(
  REGEXMATCH(LOWER(TRIM(N8)),""nico""), ""us_001"",
  REGEXMATCH(LOWER(TRIM(N8)),""alfonso""), ""us_002"",
  REGEXMATCH(LOWER(TRIM(N8)),""patxi""), ""us_003"",
  REGEXMATCH(LOWER(TRIM(N8)),""martin""), ""us_004"",
  TRUE, ""us_999""
)"),"us_003")</f>
        <v>us_003</v>
      </c>
      <c r="D8" s="11" t="str">
        <f>IFERROR(__xludf.DUMMYFUNCTION("""COMPUTED_VALUE"""),"us_003")</f>
        <v>us_003</v>
      </c>
      <c r="E8" s="11" t="s">
        <v>196</v>
      </c>
      <c r="F8" s="11" t="str">
        <f>IFERROR(__xludf.DUMMYFUNCTION("LET(
  s, UPPER(TRIM(N8)),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"),"SEGUIMIENTO")</f>
        <v>SEGUIMIENTO</v>
      </c>
      <c r="G8" s="1" t="s">
        <v>197</v>
      </c>
      <c r="H8" s="12" t="str">
        <f>IFERROR(__xludf.DUMMYFUNCTION("IFS(
  REGEXMATCH(LOWER(TRIM(U8)),""barcelona""), ""acc_139"",
  REGEXMATCH(LOWER(TRIM(U8)),""madrid""), ""acc_148"",
  REGEXMATCH(LOWER(TRIM(U8)),""zaragoza""), ""acc_149"",
  REGEXMATCH(LOWER(TRIM(U8)),""ibiza""), ""acc_140"",
  REGEXMATCH(LOWER(TRIM(U8"&amp;")),""mallorca""), ""acc_140"",
  REGEXMATCH(LOWER(TRIM(U8)),""menorca""), ""acc_150"",
  TRUE, """"
)
"),"acc_150")</f>
        <v>acc_150</v>
      </c>
      <c r="I8" s="10" t="s">
        <v>225</v>
      </c>
      <c r="K8" s="1" t="s">
        <v>197</v>
      </c>
      <c r="L8" s="11" t="str">
        <f>IFERROR(__xludf.DUMMYFUNCTION("LET(
  s, UPPER(TRIM(T8)),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"),"ACTIVA")</f>
        <v>ACTIVA</v>
      </c>
      <c r="M8" s="13"/>
      <c r="N8" s="10" t="str">
        <f t="shared" ref="N8:O8" si="7">V8</f>
        <v>Patxi </v>
      </c>
      <c r="O8" s="10" t="str">
        <f t="shared" si="7"/>
        <v/>
      </c>
      <c r="P8" s="10"/>
      <c r="Q8" s="10"/>
      <c r="S8" s="14" t="b">
        <v>0</v>
      </c>
      <c r="T8" s="14" t="s">
        <v>199</v>
      </c>
      <c r="U8" s="14" t="s">
        <v>221</v>
      </c>
      <c r="V8" s="14" t="s">
        <v>222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>
      <c r="A9" s="1" t="s">
        <v>226</v>
      </c>
      <c r="B9" s="10" t="s">
        <v>227</v>
      </c>
      <c r="C9" s="11" t="str">
        <f>IFERROR(__xludf.DUMMYFUNCTION("IFS(
  REGEXMATCH(LOWER(TRIM(N9)),""nico""), ""us_001"",
  REGEXMATCH(LOWER(TRIM(N9)),""alfonso""), ""us_002"",
  REGEXMATCH(LOWER(TRIM(N9)),""patxi""), ""us_003"",
  REGEXMATCH(LOWER(TRIM(N9)),""martin""), ""us_004"",
  TRUE, ""us_999""
)"),"us_003")</f>
        <v>us_003</v>
      </c>
      <c r="D9" s="10" t="str">
        <f>IFERROR(__xludf.DUMMYFUNCTION("""COMPUTED_VALUE"""),"us_003")</f>
        <v>us_003</v>
      </c>
      <c r="E9" s="11" t="s">
        <v>196</v>
      </c>
      <c r="F9" s="11" t="str">
        <f>IFERROR(__xludf.DUMMYFUNCTION("LET(
  s, UPPER(TRIM(N9)),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"),"SEGUIMIENTO")</f>
        <v>SEGUIMIENTO</v>
      </c>
      <c r="G9" s="1" t="s">
        <v>197</v>
      </c>
      <c r="H9" s="12" t="str">
        <f>IFERROR(__xludf.DUMMYFUNCTION("IFS(
  REGEXMATCH(LOWER(TRIM(U9)),""barcelona""), ""acc_139"",
  REGEXMATCH(LOWER(TRIM(U9)),""madrid""), ""acc_148"",
  REGEXMATCH(LOWER(TRIM(U9)),""zaragoza""), ""acc_149"",
  REGEXMATCH(LOWER(TRIM(U9)),""ibiza""), ""acc_140"",
  REGEXMATCH(LOWER(TRIM(U9"&amp;")),""mallorca""), ""acc_140"",
  REGEXMATCH(LOWER(TRIM(U9)),""menorca""), ""acc_150"",
  TRUE, """"
)
"),"acc_150")</f>
        <v>acc_150</v>
      </c>
      <c r="I9" s="10"/>
      <c r="K9" s="1" t="s">
        <v>197</v>
      </c>
      <c r="L9" s="11" t="str">
        <f>IFERROR(__xludf.DUMMYFUNCTION("LET(
  s, UPPER(TRIM(T9)),
  IF(REGEXMATCH(s,""CLOSED.*WON""), ""ACTIVA"",
  IF(REGEXMATCH(s,""CLOSED.*LOST""), ""FALLIDA"",
  IF(REGEXMATCH(s,""CONTACT.*NEXT.*SEASON""), ""POTENCIAL"",
  IF(REGEXMATCH(s,""\bLEAD\b""), ""LEAD"",
  IF(REGEXMATCH(s,""INTERE"&amp;"ST|POTENTIAL""), ""SEGUIMIENTO"",
  ""SEGUIMIENTO"")))))
)
"),"ACTIVA")</f>
        <v>ACTIVA</v>
      </c>
      <c r="M9" s="13"/>
      <c r="N9" s="10" t="str">
        <f t="shared" ref="N9:O9" si="8">V9</f>
        <v>Patxi </v>
      </c>
      <c r="O9" s="10" t="str">
        <f t="shared" si="8"/>
        <v/>
      </c>
      <c r="P9" s="10"/>
      <c r="Q9" s="10"/>
      <c r="S9" s="14" t="b">
        <v>0</v>
      </c>
      <c r="T9" s="14" t="s">
        <v>199</v>
      </c>
      <c r="U9" s="14" t="s">
        <v>221</v>
      </c>
      <c r="V9" s="14" t="s">
        <v>222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>
      <c r="A10" s="1" t="s">
        <v>228</v>
      </c>
      <c r="B10" s="10" t="s">
        <v>229</v>
      </c>
      <c r="C10" s="11" t="str">
        <f>IFERROR(__xludf.DUMMYFUNCTION("IFS(
  REGEXMATCH(LOWER(TRIM(N10)),""nico""), ""us_001"",
  REGEXMATCH(LOWER(TRIM(N10)),""alfonso""), ""us_002"",
  REGEXMATCH(LOWER(TRIM(N10)),""patxi""), ""us_003"",
  REGEXMATCH(LOWER(TRIM(N10)),""martin""), ""us_004"",
  TRUE, ""us_999""
)"),"us_003")</f>
        <v>us_003</v>
      </c>
      <c r="D10" s="10" t="str">
        <f>IFERROR(__xludf.DUMMYFUNCTION("""COMPUTED_VALUE"""),"us_003")</f>
        <v>us_003</v>
      </c>
      <c r="E10" s="11" t="s">
        <v>196</v>
      </c>
      <c r="F10" s="11" t="str">
        <f>IFERROR(__xludf.DUMMYFUNCTION("LET(
  s, UPPER(TRIM(N10)),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10" s="1" t="s">
        <v>197</v>
      </c>
      <c r="H10" s="12" t="str">
        <f>IFERROR(__xludf.DUMMYFUNCTION("IFS(
  REGEXMATCH(LOWER(TRIM(U10)),""barcelona""), ""acc_139"",
  REGEXMATCH(LOWER(TRIM(U10)),""madrid""), ""acc_148"",
  REGEXMATCH(LOWER(TRIM(U10)),""zaragoza""), ""acc_149"",
  REGEXMATCH(LOWER(TRIM(U10)),""ibiza""), ""acc_140"",
  REGEXMATCH(LOWER(TRI"&amp;"M(U10)),""mallorca""), ""acc_140"",
  REGEXMATCH(LOWER(TRIM(U10)),""menorca""), ""acc_150"",
  TRUE, """"
)
"),"acc_150")</f>
        <v>acc_150</v>
      </c>
      <c r="I10" s="10" t="s">
        <v>230</v>
      </c>
      <c r="K10" s="1" t="s">
        <v>197</v>
      </c>
      <c r="L10" s="11" t="str">
        <f>IFERROR(__xludf.DUMMYFUNCTION("LET(
  s, UPPER(TRIM(T10)),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10" s="13"/>
      <c r="N10" s="10" t="str">
        <f t="shared" ref="N10:O10" si="9">V10</f>
        <v>Patxi </v>
      </c>
      <c r="O10" s="10" t="str">
        <f t="shared" si="9"/>
        <v/>
      </c>
      <c r="P10" s="10"/>
      <c r="Q10" s="10"/>
      <c r="S10" s="14" t="b">
        <v>0</v>
      </c>
      <c r="T10" s="14" t="s">
        <v>199</v>
      </c>
      <c r="U10" s="14" t="s">
        <v>221</v>
      </c>
      <c r="V10" s="14" t="s">
        <v>222</v>
      </c>
      <c r="W10" s="10"/>
      <c r="X10" s="10"/>
      <c r="Y10" s="10" t="s">
        <v>231</v>
      </c>
      <c r="Z10" s="10"/>
      <c r="AA10" s="10" t="s">
        <v>232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>
      <c r="A11" s="1" t="s">
        <v>233</v>
      </c>
      <c r="B11" s="10" t="s">
        <v>234</v>
      </c>
      <c r="C11" s="11" t="str">
        <f>IFERROR(__xludf.DUMMYFUNCTION("IFS(
  REGEXMATCH(LOWER(TRIM(N11)),""nico""), ""us_001"",
  REGEXMATCH(LOWER(TRIM(N11)),""alfonso""), ""us_002"",
  REGEXMATCH(LOWER(TRIM(N11)),""patxi""), ""us_003"",
  REGEXMATCH(LOWER(TRIM(N11)),""martin""), ""us_004"",
  TRUE, ""us_999""
)"),"us_003")</f>
        <v>us_003</v>
      </c>
      <c r="D11" s="10" t="str">
        <f>IFERROR(__xludf.DUMMYFUNCTION("""COMPUTED_VALUE"""),"us_003")</f>
        <v>us_003</v>
      </c>
      <c r="E11" s="11" t="s">
        <v>196</v>
      </c>
      <c r="F11" s="11" t="str">
        <f>IFERROR(__xludf.DUMMYFUNCTION("LET(
  s, UPPER(TRIM(N11)),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11" s="1" t="s">
        <v>197</v>
      </c>
      <c r="H11" s="12" t="str">
        <f>IFERROR(__xludf.DUMMYFUNCTION("IFS(
  REGEXMATCH(LOWER(TRIM(U11)),""barcelona""), ""acc_139"",
  REGEXMATCH(LOWER(TRIM(U11)),""madrid""), ""acc_148"",
  REGEXMATCH(LOWER(TRIM(U11)),""zaragoza""), ""acc_149"",
  REGEXMATCH(LOWER(TRIM(U11)),""ibiza""), ""acc_140"",
  REGEXMATCH(LOWER(TRI"&amp;"M(U11)),""mallorca""), ""acc_140"",
  REGEXMATCH(LOWER(TRIM(U11)),""menorca""), ""acc_150"",
  TRUE, """"
)
"),"acc_150")</f>
        <v>acc_150</v>
      </c>
      <c r="I11" s="10" t="s">
        <v>235</v>
      </c>
      <c r="K11" s="1" t="s">
        <v>197</v>
      </c>
      <c r="L11" s="11" t="str">
        <f>IFERROR(__xludf.DUMMYFUNCTION("LET(
  s, UPPER(TRIM(T11)),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11" s="13"/>
      <c r="N11" s="10" t="str">
        <f t="shared" ref="N11:O11" si="10">V11</f>
        <v>Patxi </v>
      </c>
      <c r="O11" s="10" t="str">
        <f t="shared" si="10"/>
        <v/>
      </c>
      <c r="P11" s="10"/>
      <c r="Q11" s="10"/>
      <c r="S11" s="14" t="b">
        <v>0</v>
      </c>
      <c r="T11" s="14" t="s">
        <v>199</v>
      </c>
      <c r="U11" s="14" t="s">
        <v>221</v>
      </c>
      <c r="V11" s="14" t="s">
        <v>222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>
      <c r="A12" s="1" t="s">
        <v>236</v>
      </c>
      <c r="B12" s="10" t="s">
        <v>237</v>
      </c>
      <c r="C12" s="11" t="str">
        <f>IFERROR(__xludf.DUMMYFUNCTION("IFS(
  REGEXMATCH(LOWER(TRIM(N12)),""nico""), ""us_001"",
  REGEXMATCH(LOWER(TRIM(N12)),""alfonso""), ""us_002"",
  REGEXMATCH(LOWER(TRIM(N12)),""patxi""), ""us_003"",
  REGEXMATCH(LOWER(TRIM(N12)),""martin""), ""us_004"",
  TRUE, ""us_999""
)"),"us_003")</f>
        <v>us_003</v>
      </c>
      <c r="D12" s="10" t="str">
        <f>IFERROR(__xludf.DUMMYFUNCTION("""COMPUTED_VALUE"""),"us_003")</f>
        <v>us_003</v>
      </c>
      <c r="E12" s="11" t="s">
        <v>196</v>
      </c>
      <c r="F12" s="11" t="str">
        <f>IFERROR(__xludf.DUMMYFUNCTION("LET(
  s, UPPER(TRIM(N12)),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12" s="1" t="s">
        <v>197</v>
      </c>
      <c r="H12" s="12" t="str">
        <f>IFERROR(__xludf.DUMMYFUNCTION("IFS(
  REGEXMATCH(LOWER(TRIM(U12)),""barcelona""), ""acc_139"",
  REGEXMATCH(LOWER(TRIM(U12)),""madrid""), ""acc_148"",
  REGEXMATCH(LOWER(TRIM(U12)),""zaragoza""), ""acc_149"",
  REGEXMATCH(LOWER(TRIM(U12)),""ibiza""), ""acc_140"",
  REGEXMATCH(LOWER(TRI"&amp;"M(U12)),""mallorca""), ""acc_140"",
  REGEXMATCH(LOWER(TRIM(U12)),""menorca""), ""acc_150"",
  TRUE, """"
)
"),"acc_150")</f>
        <v>acc_150</v>
      </c>
      <c r="I12" s="10"/>
      <c r="K12" s="1" t="s">
        <v>197</v>
      </c>
      <c r="L12" s="11" t="str">
        <f>IFERROR(__xludf.DUMMYFUNCTION("LET(
  s, UPPER(TRIM(T12)),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12" s="13"/>
      <c r="N12" s="10" t="str">
        <f t="shared" ref="N12:O12" si="11">V12</f>
        <v>Patxi </v>
      </c>
      <c r="O12" s="10" t="str">
        <f t="shared" si="11"/>
        <v/>
      </c>
      <c r="P12" s="10"/>
      <c r="Q12" s="10"/>
      <c r="S12" s="14" t="b">
        <v>0</v>
      </c>
      <c r="T12" s="14" t="s">
        <v>199</v>
      </c>
      <c r="U12" s="14" t="s">
        <v>221</v>
      </c>
      <c r="V12" s="14" t="s">
        <v>222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</row>
    <row r="13">
      <c r="A13" s="1" t="s">
        <v>238</v>
      </c>
      <c r="B13" s="10" t="s">
        <v>239</v>
      </c>
      <c r="C13" s="11" t="str">
        <f>IFERROR(__xludf.DUMMYFUNCTION("IFS(
  REGEXMATCH(LOWER(TRIM(N13)),""nico""), ""us_001"",
  REGEXMATCH(LOWER(TRIM(N13)),""alfonso""), ""us_002"",
  REGEXMATCH(LOWER(TRIM(N13)),""patxi""), ""us_003"",
  REGEXMATCH(LOWER(TRIM(N13)),""martin""), ""us_004"",
  TRUE, ""us_999""
)"),"us_003")</f>
        <v>us_003</v>
      </c>
      <c r="D13" s="10" t="str">
        <f>IFERROR(__xludf.DUMMYFUNCTION("""COMPUTED_VALUE"""),"us_003")</f>
        <v>us_003</v>
      </c>
      <c r="E13" s="11" t="s">
        <v>196</v>
      </c>
      <c r="F13" s="11" t="str">
        <f>IFERROR(__xludf.DUMMYFUNCTION("LET(
  s, UPPER(TRIM(N13)),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13" s="1" t="s">
        <v>197</v>
      </c>
      <c r="H13" s="12" t="str">
        <f>IFERROR(__xludf.DUMMYFUNCTION("IFS(
  REGEXMATCH(LOWER(TRIM(U13)),""barcelona""), ""acc_139"",
  REGEXMATCH(LOWER(TRIM(U13)),""madrid""), ""acc_148"",
  REGEXMATCH(LOWER(TRIM(U13)),""zaragoza""), ""acc_149"",
  REGEXMATCH(LOWER(TRIM(U13)),""ibiza""), ""acc_140"",
  REGEXMATCH(LOWER(TRI"&amp;"M(U13)),""mallorca""), ""acc_140"",
  REGEXMATCH(LOWER(TRIM(U13)),""menorca""), ""acc_150"",
  TRUE, """"
)
"),"acc_150")</f>
        <v>acc_150</v>
      </c>
      <c r="I13" s="10"/>
      <c r="K13" s="1" t="s">
        <v>197</v>
      </c>
      <c r="L13" s="11" t="str">
        <f>IFERROR(__xludf.DUMMYFUNCTION("LET(
  s, UPPER(TRIM(T13)),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13" s="13"/>
      <c r="N13" s="10" t="str">
        <f t="shared" ref="N13:O13" si="12">V13</f>
        <v>Patxi </v>
      </c>
      <c r="O13" s="10" t="str">
        <f t="shared" si="12"/>
        <v/>
      </c>
      <c r="P13" s="10"/>
      <c r="Q13" s="10"/>
      <c r="S13" s="14" t="b">
        <v>0</v>
      </c>
      <c r="T13" s="14" t="s">
        <v>199</v>
      </c>
      <c r="U13" s="14" t="s">
        <v>221</v>
      </c>
      <c r="V13" s="14" t="s">
        <v>222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</row>
    <row r="14">
      <c r="A14" s="1" t="s">
        <v>240</v>
      </c>
      <c r="B14" s="10" t="s">
        <v>241</v>
      </c>
      <c r="C14" s="11" t="str">
        <f>IFERROR(__xludf.DUMMYFUNCTION("IFS(
  REGEXMATCH(LOWER(TRIM(N14)),""nico""), ""us_001"",
  REGEXMATCH(LOWER(TRIM(N14)),""alfonso""), ""us_002"",
  REGEXMATCH(LOWER(TRIM(N14)),""patxi""), ""us_003"",
  REGEXMATCH(LOWER(TRIM(N14)),""martin""), ""us_004"",
  TRUE, ""us_999""
)"),"us_003")</f>
        <v>us_003</v>
      </c>
      <c r="D14" s="10" t="str">
        <f>IFERROR(__xludf.DUMMYFUNCTION("""COMPUTED_VALUE"""),"us_003")</f>
        <v>us_003</v>
      </c>
      <c r="E14" s="11" t="s">
        <v>196</v>
      </c>
      <c r="F14" s="11" t="str">
        <f>IFERROR(__xludf.DUMMYFUNCTION("LET(
  s, UPPER(TRIM(N14)),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14" s="1" t="s">
        <v>197</v>
      </c>
      <c r="H14" s="12" t="str">
        <f>IFERROR(__xludf.DUMMYFUNCTION("IFS(
  REGEXMATCH(LOWER(TRIM(U14)),""barcelona""), ""acc_139"",
  REGEXMATCH(LOWER(TRIM(U14)),""madrid""), ""acc_148"",
  REGEXMATCH(LOWER(TRIM(U14)),""zaragoza""), ""acc_149"",
  REGEXMATCH(LOWER(TRIM(U14)),""ibiza""), ""acc_140"",
  REGEXMATCH(LOWER(TRI"&amp;"M(U14)),""mallorca""), ""acc_140"",
  REGEXMATCH(LOWER(TRIM(U14)),""menorca""), ""acc_150"",
  TRUE, """"
)
"),"acc_150")</f>
        <v>acc_150</v>
      </c>
      <c r="I14" s="10"/>
      <c r="K14" s="1" t="s">
        <v>197</v>
      </c>
      <c r="L14" s="11" t="str">
        <f>IFERROR(__xludf.DUMMYFUNCTION("LET(
  s, UPPER(TRIM(T14)),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14" s="13"/>
      <c r="N14" s="10" t="str">
        <f t="shared" ref="N14:O14" si="13">V14</f>
        <v>Patxi </v>
      </c>
      <c r="O14" s="10" t="str">
        <f t="shared" si="13"/>
        <v/>
      </c>
      <c r="P14" s="10"/>
      <c r="Q14" s="10"/>
      <c r="S14" s="14" t="b">
        <v>0</v>
      </c>
      <c r="T14" s="14" t="s">
        <v>199</v>
      </c>
      <c r="U14" s="14" t="s">
        <v>221</v>
      </c>
      <c r="V14" s="14" t="s">
        <v>222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</row>
    <row r="15">
      <c r="A15" s="1" t="s">
        <v>242</v>
      </c>
      <c r="B15" s="10" t="s">
        <v>243</v>
      </c>
      <c r="C15" s="11" t="str">
        <f>IFERROR(__xludf.DUMMYFUNCTION("IFS(
  REGEXMATCH(LOWER(TRIM(N15)),""nico""), ""us_001"",
  REGEXMATCH(LOWER(TRIM(N15)),""alfonso""), ""us_002"",
  REGEXMATCH(LOWER(TRIM(N15)),""patxi""), ""us_003"",
  REGEXMATCH(LOWER(TRIM(N15)),""martin""), ""us_004"",
  TRUE, ""us_999""
)"),"us_003")</f>
        <v>us_003</v>
      </c>
      <c r="D15" s="10" t="str">
        <f>IFERROR(__xludf.DUMMYFUNCTION("""COMPUTED_VALUE"""),"us_003")</f>
        <v>us_003</v>
      </c>
      <c r="E15" s="11" t="s">
        <v>196</v>
      </c>
      <c r="F15" s="11" t="str">
        <f>IFERROR(__xludf.DUMMYFUNCTION("LET(
  s, UPPER(TRIM(N15)),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15" s="1" t="s">
        <v>197</v>
      </c>
      <c r="H15" s="12" t="str">
        <f>IFERROR(__xludf.DUMMYFUNCTION("IFS(
  REGEXMATCH(LOWER(TRIM(U15)),""barcelona""), ""acc_139"",
  REGEXMATCH(LOWER(TRIM(U15)),""madrid""), ""acc_148"",
  REGEXMATCH(LOWER(TRIM(U15)),""zaragoza""), ""acc_149"",
  REGEXMATCH(LOWER(TRIM(U15)),""ibiza""), ""acc_140"",
  REGEXMATCH(LOWER(TRI"&amp;"M(U15)),""mallorca""), ""acc_140"",
  REGEXMATCH(LOWER(TRIM(U15)),""menorca""), ""acc_150"",
  TRUE, """"
)
"),"acc_150")</f>
        <v>acc_150</v>
      </c>
      <c r="I15" s="10" t="s">
        <v>244</v>
      </c>
      <c r="K15" s="1" t="s">
        <v>197</v>
      </c>
      <c r="L15" s="11" t="str">
        <f>IFERROR(__xludf.DUMMYFUNCTION("LET(
  s, UPPER(TRIM(T15)),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15" s="13"/>
      <c r="N15" s="10" t="str">
        <f t="shared" ref="N15:O15" si="14">V15</f>
        <v>Patxi </v>
      </c>
      <c r="O15" s="10" t="str">
        <f t="shared" si="14"/>
        <v/>
      </c>
      <c r="P15" s="10"/>
      <c r="Q15" s="10"/>
      <c r="S15" s="14" t="b">
        <v>0</v>
      </c>
      <c r="T15" s="14" t="s">
        <v>199</v>
      </c>
      <c r="U15" s="14" t="s">
        <v>221</v>
      </c>
      <c r="V15" s="14" t="s">
        <v>222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</row>
    <row r="16">
      <c r="A16" s="1" t="s">
        <v>245</v>
      </c>
      <c r="B16" s="10" t="s">
        <v>246</v>
      </c>
      <c r="C16" s="11" t="str">
        <f>IFERROR(__xludf.DUMMYFUNCTION("IFS(
  REGEXMATCH(LOWER(TRIM(N16)),""nico""), ""us_001"",
  REGEXMATCH(LOWER(TRIM(N16)),""alfonso""), ""us_002"",
  REGEXMATCH(LOWER(TRIM(N16)),""patxi""), ""us_003"",
  REGEXMATCH(LOWER(TRIM(N16)),""martin""), ""us_004"",
  TRUE, ""us_999""
)"),"us_001")</f>
        <v>us_001</v>
      </c>
      <c r="D16" s="10" t="str">
        <f>IFERROR(__xludf.DUMMYFUNCTION("""COMPUTED_VALUE"""),"us_001")</f>
        <v>us_001</v>
      </c>
      <c r="E16" s="11" t="s">
        <v>196</v>
      </c>
      <c r="F16" s="11" t="str">
        <f>IFERROR(__xludf.DUMMYFUNCTION("LET(
  s, UPPER(TRIM(N16)),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16" s="1" t="s">
        <v>197</v>
      </c>
      <c r="H16" s="12" t="str">
        <f>IFERROR(__xludf.DUMMYFUNCTION("IFS(
  REGEXMATCH(LOWER(TRIM(U16)),""barcelona""), ""acc_139"",
  REGEXMATCH(LOWER(TRIM(U16)),""madrid""), ""acc_148"",
  REGEXMATCH(LOWER(TRIM(U16)),""zaragoza""), ""acc_149"",
  REGEXMATCH(LOWER(TRIM(U16)),""ibiza""), ""acc_140"",
  REGEXMATCH(LOWER(TRI"&amp;"M(U16)),""mallorca""), ""acc_140"",
  REGEXMATCH(LOWER(TRIM(U16)),""menorca""), ""acc_150"",
  TRUE, """"
)
"),"acc_148")</f>
        <v>acc_148</v>
      </c>
      <c r="I16" s="10" t="s">
        <v>247</v>
      </c>
      <c r="K16" s="1" t="s">
        <v>197</v>
      </c>
      <c r="L16" s="11" t="str">
        <f>IFERROR(__xludf.DUMMYFUNCTION("LET(
  s, UPPER(TRIM(T16)),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16" s="13"/>
      <c r="N16" s="10" t="str">
        <f t="shared" ref="N16:O16" si="15">V16</f>
        <v>Nico</v>
      </c>
      <c r="O16" s="10" t="str">
        <f t="shared" si="15"/>
        <v/>
      </c>
      <c r="P16" s="10"/>
      <c r="Q16" s="10"/>
      <c r="S16" s="14" t="b">
        <v>0</v>
      </c>
      <c r="T16" s="14" t="s">
        <v>199</v>
      </c>
      <c r="U16" s="14" t="s">
        <v>200</v>
      </c>
      <c r="V16" s="14" t="s">
        <v>206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</row>
    <row r="17">
      <c r="A17" s="1" t="s">
        <v>248</v>
      </c>
      <c r="B17" s="10" t="s">
        <v>249</v>
      </c>
      <c r="C17" s="11" t="str">
        <f>IFERROR(__xludf.DUMMYFUNCTION("IFS(
  REGEXMATCH(LOWER(TRIM(N17)),""nico""), ""us_001"",
  REGEXMATCH(LOWER(TRIM(N17)),""alfonso""), ""us_002"",
  REGEXMATCH(LOWER(TRIM(N17)),""patxi""), ""us_003"",
  REGEXMATCH(LOWER(TRIM(N17)),""martin""), ""us_004"",
  TRUE, ""us_999""
)"),"us_002")</f>
        <v>us_002</v>
      </c>
      <c r="D17" s="10" t="str">
        <f>IFERROR(__xludf.DUMMYFUNCTION("""COMPUTED_VALUE"""),"us_002")</f>
        <v>us_002</v>
      </c>
      <c r="E17" s="11" t="s">
        <v>196</v>
      </c>
      <c r="F17" s="11" t="str">
        <f>IFERROR(__xludf.DUMMYFUNCTION("LET(
  s, UPPER(TRIM(N17)),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17" s="1" t="s">
        <v>197</v>
      </c>
      <c r="H17" s="12" t="str">
        <f>IFERROR(__xludf.DUMMYFUNCTION("IFS(
  REGEXMATCH(LOWER(TRIM(U17)),""barcelona""), ""acc_139"",
  REGEXMATCH(LOWER(TRIM(U17)),""madrid""), ""acc_148"",
  REGEXMATCH(LOWER(TRIM(U17)),""zaragoza""), ""acc_149"",
  REGEXMATCH(LOWER(TRIM(U17)),""ibiza""), ""acc_140"",
  REGEXMATCH(LOWER(TRI"&amp;"M(U17)),""mallorca""), ""acc_140"",
  REGEXMATCH(LOWER(TRIM(U17)),""menorca""), ""acc_150"",
  TRUE, """"
)
"),"acc_148")</f>
        <v>acc_148</v>
      </c>
      <c r="I17" s="10" t="s">
        <v>250</v>
      </c>
      <c r="K17" s="1" t="s">
        <v>197</v>
      </c>
      <c r="L17" s="11" t="str">
        <f>IFERROR(__xludf.DUMMYFUNCTION("LET(
  s, UPPER(TRIM(T17)),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17" s="13"/>
      <c r="N17" s="10" t="str">
        <f t="shared" ref="N17:O17" si="16">V17</f>
        <v>Alfonso </v>
      </c>
      <c r="O17" s="10" t="str">
        <f t="shared" si="16"/>
        <v/>
      </c>
      <c r="P17" s="10"/>
      <c r="Q17" s="10"/>
      <c r="S17" s="14" t="b">
        <v>0</v>
      </c>
      <c r="T17" s="14" t="s">
        <v>199</v>
      </c>
      <c r="U17" s="14" t="s">
        <v>200</v>
      </c>
      <c r="V17" s="14" t="s">
        <v>201</v>
      </c>
      <c r="W17" s="10"/>
      <c r="X17" s="10"/>
      <c r="Y17" s="10" t="s">
        <v>251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</row>
    <row r="18">
      <c r="A18" s="1" t="s">
        <v>252</v>
      </c>
      <c r="B18" s="10" t="s">
        <v>253</v>
      </c>
      <c r="C18" s="11" t="str">
        <f>IFERROR(__xludf.DUMMYFUNCTION("IFS(
  REGEXMATCH(LOWER(TRIM(N18)),""nico""), ""us_001"",
  REGEXMATCH(LOWER(TRIM(N18)),""alfonso""), ""us_002"",
  REGEXMATCH(LOWER(TRIM(N18)),""patxi""), ""us_003"",
  REGEXMATCH(LOWER(TRIM(N18)),""martin""), ""us_004"",
  TRUE, ""us_999""
)"),"us_002")</f>
        <v>us_002</v>
      </c>
      <c r="D18" s="10" t="str">
        <f>IFERROR(__xludf.DUMMYFUNCTION("""COMPUTED_VALUE"""),"us_002")</f>
        <v>us_002</v>
      </c>
      <c r="E18" s="11" t="s">
        <v>196</v>
      </c>
      <c r="F18" s="11" t="str">
        <f>IFERROR(__xludf.DUMMYFUNCTION("LET(
  s, UPPER(TRIM(N18)),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18" s="1" t="s">
        <v>197</v>
      </c>
      <c r="H18" s="12" t="str">
        <f>IFERROR(__xludf.DUMMYFUNCTION("IFS(
  REGEXMATCH(LOWER(TRIM(U18)),""barcelona""), ""acc_139"",
  REGEXMATCH(LOWER(TRIM(U18)),""madrid""), ""acc_148"",
  REGEXMATCH(LOWER(TRIM(U18)),""zaragoza""), ""acc_149"",
  REGEXMATCH(LOWER(TRIM(U18)),""ibiza""), ""acc_140"",
  REGEXMATCH(LOWER(TRI"&amp;"M(U18)),""mallorca""), ""acc_140"",
  REGEXMATCH(LOWER(TRIM(U18)),""menorca""), ""acc_150"",
  TRUE, """"
)
"),"acc_148")</f>
        <v>acc_148</v>
      </c>
      <c r="I18" s="10" t="s">
        <v>254</v>
      </c>
      <c r="K18" s="1" t="s">
        <v>197</v>
      </c>
      <c r="L18" s="11" t="str">
        <f>IFERROR(__xludf.DUMMYFUNCTION("LET(
  s, UPPER(TRIM(T18)),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18" s="13"/>
      <c r="N18" s="10" t="str">
        <f t="shared" ref="N18:O18" si="17">V18</f>
        <v>Alfonso </v>
      </c>
      <c r="O18" s="10" t="str">
        <f t="shared" si="17"/>
        <v/>
      </c>
      <c r="P18" s="10"/>
      <c r="Q18" s="10"/>
      <c r="S18" s="14" t="b">
        <v>0</v>
      </c>
      <c r="T18" s="14" t="s">
        <v>199</v>
      </c>
      <c r="U18" s="14" t="s">
        <v>200</v>
      </c>
      <c r="V18" s="14" t="s">
        <v>201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</row>
    <row r="19">
      <c r="A19" s="1" t="s">
        <v>255</v>
      </c>
      <c r="B19" s="10" t="s">
        <v>256</v>
      </c>
      <c r="C19" s="11" t="str">
        <f>IFERROR(__xludf.DUMMYFUNCTION("IFS(
  REGEXMATCH(LOWER(TRIM(N19)),""nico""), ""us_001"",
  REGEXMATCH(LOWER(TRIM(N19)),""alfonso""), ""us_002"",
  REGEXMATCH(LOWER(TRIM(N19)),""patxi""), ""us_003"",
  REGEXMATCH(LOWER(TRIM(N19)),""martin""), ""us_004"",
  TRUE, ""us_999""
)"),"us_002")</f>
        <v>us_002</v>
      </c>
      <c r="D19" s="10" t="str">
        <f>IFERROR(__xludf.DUMMYFUNCTION("""COMPUTED_VALUE"""),"us_002")</f>
        <v>us_002</v>
      </c>
      <c r="E19" s="11" t="s">
        <v>196</v>
      </c>
      <c r="F19" s="11" t="str">
        <f>IFERROR(__xludf.DUMMYFUNCTION("LET(
  s, UPPER(TRIM(N19)),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19" s="1" t="s">
        <v>197</v>
      </c>
      <c r="H19" s="12" t="str">
        <f>IFERROR(__xludf.DUMMYFUNCTION("IFS(
  REGEXMATCH(LOWER(TRIM(U19)),""barcelona""), ""acc_139"",
  REGEXMATCH(LOWER(TRIM(U19)),""madrid""), ""acc_148"",
  REGEXMATCH(LOWER(TRIM(U19)),""zaragoza""), ""acc_149"",
  REGEXMATCH(LOWER(TRIM(U19)),""ibiza""), ""acc_140"",
  REGEXMATCH(LOWER(TRI"&amp;"M(U19)),""mallorca""), ""acc_140"",
  REGEXMATCH(LOWER(TRIM(U19)),""menorca""), ""acc_150"",
  TRUE, """"
)
"),"acc_148")</f>
        <v>acc_148</v>
      </c>
      <c r="I19" s="10" t="s">
        <v>257</v>
      </c>
      <c r="K19" s="1" t="s">
        <v>197</v>
      </c>
      <c r="L19" s="11" t="str">
        <f>IFERROR(__xludf.DUMMYFUNCTION("LET(
  s, UPPER(TRIM(T19)),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19" s="13"/>
      <c r="N19" s="10" t="str">
        <f t="shared" ref="N19:O19" si="18">V19</f>
        <v>Alfonso </v>
      </c>
      <c r="O19" s="10" t="str">
        <f t="shared" si="18"/>
        <v/>
      </c>
      <c r="P19" s="10"/>
      <c r="Q19" s="10"/>
      <c r="S19" s="14" t="b">
        <v>0</v>
      </c>
      <c r="T19" s="14" t="s">
        <v>199</v>
      </c>
      <c r="U19" s="14" t="s">
        <v>200</v>
      </c>
      <c r="V19" s="14" t="s">
        <v>201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</row>
    <row r="20">
      <c r="A20" s="1" t="s">
        <v>258</v>
      </c>
      <c r="B20" s="10" t="s">
        <v>259</v>
      </c>
      <c r="C20" s="11" t="str">
        <f>IFERROR(__xludf.DUMMYFUNCTION("IFS(
  REGEXMATCH(LOWER(TRIM(N20)),""nico""), ""us_001"",
  REGEXMATCH(LOWER(TRIM(N20)),""alfonso""), ""us_002"",
  REGEXMATCH(LOWER(TRIM(N20)),""patxi""), ""us_003"",
  REGEXMATCH(LOWER(TRIM(N20)),""martin""), ""us_004"",
  TRUE, ""us_999""
)"),"us_001")</f>
        <v>us_001</v>
      </c>
      <c r="D20" s="10" t="str">
        <f>IFERROR(__xludf.DUMMYFUNCTION("""COMPUTED_VALUE"""),"us_001")</f>
        <v>us_001</v>
      </c>
      <c r="E20" s="11" t="s">
        <v>196</v>
      </c>
      <c r="F20" s="11" t="str">
        <f>IFERROR(__xludf.DUMMYFUNCTION("LET(
  s, UPPER(TRIM(N20)),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20" s="1" t="s">
        <v>197</v>
      </c>
      <c r="H20" s="12" t="str">
        <f>IFERROR(__xludf.DUMMYFUNCTION("IFS(
  REGEXMATCH(LOWER(TRIM(U20)),""barcelona""), ""acc_139"",
  REGEXMATCH(LOWER(TRIM(U20)),""madrid""), ""acc_148"",
  REGEXMATCH(LOWER(TRIM(U20)),""zaragoza""), ""acc_149"",
  REGEXMATCH(LOWER(TRIM(U20)),""ibiza""), ""acc_140"",
  REGEXMATCH(LOWER(TRI"&amp;"M(U20)),""mallorca""), ""acc_140"",
  REGEXMATCH(LOWER(TRIM(U20)),""menorca""), ""acc_150"",
  TRUE, """"
)
"),"acc_148")</f>
        <v>acc_148</v>
      </c>
      <c r="I20" s="10" t="s">
        <v>260</v>
      </c>
      <c r="K20" s="1" t="s">
        <v>197</v>
      </c>
      <c r="L20" s="11" t="str">
        <f>IFERROR(__xludf.DUMMYFUNCTION("LET(
  s, UPPER(TRIM(T20)),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20" s="13"/>
      <c r="N20" s="10" t="str">
        <f t="shared" ref="N20:O20" si="19">V20</f>
        <v>Nico</v>
      </c>
      <c r="O20" s="10" t="str">
        <f t="shared" si="19"/>
        <v/>
      </c>
      <c r="P20" s="10"/>
      <c r="Q20" s="10"/>
      <c r="S20" s="14" t="b">
        <v>0</v>
      </c>
      <c r="T20" s="14" t="s">
        <v>199</v>
      </c>
      <c r="U20" s="14" t="s">
        <v>200</v>
      </c>
      <c r="V20" s="14" t="s">
        <v>206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</row>
    <row r="21">
      <c r="A21" s="1" t="s">
        <v>261</v>
      </c>
      <c r="B21" s="10" t="s">
        <v>262</v>
      </c>
      <c r="C21" s="11" t="str">
        <f>IFERROR(__xludf.DUMMYFUNCTION("IFS(
  REGEXMATCH(LOWER(TRIM(N21)),""nico""), ""us_001"",
  REGEXMATCH(LOWER(TRIM(N21)),""alfonso""), ""us_002"",
  REGEXMATCH(LOWER(TRIM(N21)),""patxi""), ""us_003"",
  REGEXMATCH(LOWER(TRIM(N21)),""martin""), ""us_004"",
  TRUE, ""us_999""
)"),"us_001")</f>
        <v>us_001</v>
      </c>
      <c r="D21" s="10" t="str">
        <f>IFERROR(__xludf.DUMMYFUNCTION("""COMPUTED_VALUE"""),"us_001")</f>
        <v>us_001</v>
      </c>
      <c r="E21" s="11" t="s">
        <v>196</v>
      </c>
      <c r="F21" s="11" t="str">
        <f>IFERROR(__xludf.DUMMYFUNCTION("LET(
  s, UPPER(TRIM(N21)),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21" s="1" t="s">
        <v>197</v>
      </c>
      <c r="H21" s="12" t="str">
        <f>IFERROR(__xludf.DUMMYFUNCTION("IFS(
  REGEXMATCH(LOWER(TRIM(U21)),""barcelona""), ""acc_139"",
  REGEXMATCH(LOWER(TRIM(U21)),""madrid""), ""acc_148"",
  REGEXMATCH(LOWER(TRIM(U21)),""zaragoza""), ""acc_149"",
  REGEXMATCH(LOWER(TRIM(U21)),""ibiza""), ""acc_140"",
  REGEXMATCH(LOWER(TRI"&amp;"M(U21)),""mallorca""), ""acc_140"",
  REGEXMATCH(LOWER(TRIM(U21)),""menorca""), ""acc_150"",
  TRUE, """"
)
"),"acc_148")</f>
        <v>acc_148</v>
      </c>
      <c r="I21" s="10" t="s">
        <v>263</v>
      </c>
      <c r="K21" s="1" t="s">
        <v>197</v>
      </c>
      <c r="L21" s="11" t="str">
        <f>IFERROR(__xludf.DUMMYFUNCTION("LET(
  s, UPPER(TRIM(T21)),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21" s="13"/>
      <c r="N21" s="10" t="str">
        <f t="shared" ref="N21:O21" si="20">V21</f>
        <v>Nico</v>
      </c>
      <c r="O21" s="10" t="str">
        <f t="shared" si="20"/>
        <v/>
      </c>
      <c r="P21" s="10"/>
      <c r="Q21" s="10"/>
      <c r="S21" s="14" t="b">
        <v>0</v>
      </c>
      <c r="T21" s="14" t="s">
        <v>199</v>
      </c>
      <c r="U21" s="14" t="s">
        <v>200</v>
      </c>
      <c r="V21" s="14" t="s">
        <v>206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</row>
    <row r="22">
      <c r="A22" s="1" t="s">
        <v>264</v>
      </c>
      <c r="B22" s="10" t="s">
        <v>265</v>
      </c>
      <c r="C22" s="11" t="str">
        <f>IFERROR(__xludf.DUMMYFUNCTION("IFS(
  REGEXMATCH(LOWER(TRIM(N22)),""nico""), ""us_001"",
  REGEXMATCH(LOWER(TRIM(N22)),""alfonso""), ""us_002"",
  REGEXMATCH(LOWER(TRIM(N22)),""patxi""), ""us_003"",
  REGEXMATCH(LOWER(TRIM(N22)),""martin""), ""us_004"",
  TRUE, ""us_999""
)"),"us_002")</f>
        <v>us_002</v>
      </c>
      <c r="D22" s="10" t="str">
        <f>IFERROR(__xludf.DUMMYFUNCTION("""COMPUTED_VALUE"""),"us_002")</f>
        <v>us_002</v>
      </c>
      <c r="E22" s="11" t="s">
        <v>196</v>
      </c>
      <c r="F22" s="11" t="str">
        <f>IFERROR(__xludf.DUMMYFUNCTION("LET(
  s, UPPER(TRIM(N22)),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22" s="1" t="s">
        <v>197</v>
      </c>
      <c r="H22" s="12" t="str">
        <f>IFERROR(__xludf.DUMMYFUNCTION("IFS(
  REGEXMATCH(LOWER(TRIM(U22)),""barcelona""), ""acc_139"",
  REGEXMATCH(LOWER(TRIM(U22)),""madrid""), ""acc_148"",
  REGEXMATCH(LOWER(TRIM(U22)),""zaragoza""), ""acc_149"",
  REGEXMATCH(LOWER(TRIM(U22)),""ibiza""), ""acc_140"",
  REGEXMATCH(LOWER(TRI"&amp;"M(U22)),""mallorca""), ""acc_140"",
  REGEXMATCH(LOWER(TRIM(U22)),""menorca""), ""acc_150"",
  TRUE, """"
)
"),"acc_148")</f>
        <v>acc_148</v>
      </c>
      <c r="I22" s="10" t="s">
        <v>266</v>
      </c>
      <c r="K22" s="1" t="s">
        <v>197</v>
      </c>
      <c r="L22" s="11" t="str">
        <f>IFERROR(__xludf.DUMMYFUNCTION("LET(
  s, UPPER(TRIM(T22)),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22" s="13"/>
      <c r="N22" s="10" t="str">
        <f t="shared" ref="N22:O22" si="21">V22</f>
        <v>Alfonso </v>
      </c>
      <c r="O22" s="10" t="str">
        <f t="shared" si="21"/>
        <v/>
      </c>
      <c r="P22" s="10"/>
      <c r="Q22" s="10"/>
      <c r="S22" s="14" t="b">
        <v>0</v>
      </c>
      <c r="T22" s="14" t="s">
        <v>199</v>
      </c>
      <c r="U22" s="14" t="s">
        <v>200</v>
      </c>
      <c r="V22" s="14" t="s">
        <v>201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</row>
    <row r="23">
      <c r="A23" s="1" t="s">
        <v>267</v>
      </c>
      <c r="B23" s="10" t="s">
        <v>268</v>
      </c>
      <c r="C23" s="11" t="str">
        <f>IFERROR(__xludf.DUMMYFUNCTION("IFS(
  REGEXMATCH(LOWER(TRIM(N23)),""nico""), ""us_001"",
  REGEXMATCH(LOWER(TRIM(N23)),""alfonso""), ""us_002"",
  REGEXMATCH(LOWER(TRIM(N23)),""patxi""), ""us_003"",
  REGEXMATCH(LOWER(TRIM(N23)),""martin""), ""us_004"",
  TRUE, ""us_999""
)"),"us_002")</f>
        <v>us_002</v>
      </c>
      <c r="D23" s="10" t="str">
        <f>IFERROR(__xludf.DUMMYFUNCTION("""COMPUTED_VALUE"""),"us_002")</f>
        <v>us_002</v>
      </c>
      <c r="E23" s="11" t="s">
        <v>196</v>
      </c>
      <c r="F23" s="11" t="str">
        <f>IFERROR(__xludf.DUMMYFUNCTION("LET(
  s, UPPER(TRIM(N23)),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23" s="1" t="s">
        <v>197</v>
      </c>
      <c r="H23" s="12" t="str">
        <f>IFERROR(__xludf.DUMMYFUNCTION("IFS(
  REGEXMATCH(LOWER(TRIM(U23)),""barcelona""), ""acc_139"",
  REGEXMATCH(LOWER(TRIM(U23)),""madrid""), ""acc_148"",
  REGEXMATCH(LOWER(TRIM(U23)),""zaragoza""), ""acc_149"",
  REGEXMATCH(LOWER(TRIM(U23)),""ibiza""), ""acc_140"",
  REGEXMATCH(LOWER(TRI"&amp;"M(U23)),""mallorca""), ""acc_140"",
  REGEXMATCH(LOWER(TRIM(U23)),""menorca""), ""acc_150"",
  TRUE, """"
)
"),"acc_148")</f>
        <v>acc_148</v>
      </c>
      <c r="I23" s="10" t="s">
        <v>269</v>
      </c>
      <c r="K23" s="1" t="s">
        <v>197</v>
      </c>
      <c r="L23" s="11" t="str">
        <f>IFERROR(__xludf.DUMMYFUNCTION("LET(
  s, UPPER(TRIM(T23)),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23" s="13"/>
      <c r="N23" s="10" t="str">
        <f t="shared" ref="N23:O23" si="22">V23</f>
        <v>Alfonso </v>
      </c>
      <c r="O23" s="10" t="str">
        <f t="shared" si="22"/>
        <v/>
      </c>
      <c r="P23" s="10"/>
      <c r="Q23" s="10"/>
      <c r="S23" s="14" t="b">
        <v>0</v>
      </c>
      <c r="T23" s="14" t="s">
        <v>199</v>
      </c>
      <c r="U23" s="14" t="s">
        <v>200</v>
      </c>
      <c r="V23" s="14" t="s">
        <v>201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</row>
    <row r="24">
      <c r="A24" s="1" t="s">
        <v>270</v>
      </c>
      <c r="B24" s="10" t="s">
        <v>271</v>
      </c>
      <c r="C24" s="11" t="str">
        <f>IFERROR(__xludf.DUMMYFUNCTION("IFS(
  REGEXMATCH(LOWER(TRIM(N24)),""nico""), ""us_001"",
  REGEXMATCH(LOWER(TRIM(N24)),""alfonso""), ""us_002"",
  REGEXMATCH(LOWER(TRIM(N24)),""patxi""), ""us_003"",
  REGEXMATCH(LOWER(TRIM(N24)),""martin""), ""us_004"",
  TRUE, ""us_999""
)"),"us_002")</f>
        <v>us_002</v>
      </c>
      <c r="D24" s="10" t="str">
        <f>IFERROR(__xludf.DUMMYFUNCTION("""COMPUTED_VALUE"""),"us_002")</f>
        <v>us_002</v>
      </c>
      <c r="E24" s="11" t="s">
        <v>196</v>
      </c>
      <c r="F24" s="11" t="str">
        <f>IFERROR(__xludf.DUMMYFUNCTION("LET(
  s, UPPER(TRIM(N24)),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24" s="1" t="s">
        <v>197</v>
      </c>
      <c r="H24" s="12" t="str">
        <f>IFERROR(__xludf.DUMMYFUNCTION("IFS(
  REGEXMATCH(LOWER(TRIM(U24)),""barcelona""), ""acc_139"",
  REGEXMATCH(LOWER(TRIM(U24)),""madrid""), ""acc_148"",
  REGEXMATCH(LOWER(TRIM(U24)),""zaragoza""), ""acc_149"",
  REGEXMATCH(LOWER(TRIM(U24)),""ibiza""), ""acc_140"",
  REGEXMATCH(LOWER(TRI"&amp;"M(U24)),""mallorca""), ""acc_140"",
  REGEXMATCH(LOWER(TRIM(U24)),""menorca""), ""acc_150"",
  TRUE, """"
)
"),"acc_148")</f>
        <v>acc_148</v>
      </c>
      <c r="I24" s="10" t="s">
        <v>272</v>
      </c>
      <c r="K24" s="1" t="s">
        <v>197</v>
      </c>
      <c r="L24" s="11" t="str">
        <f>IFERROR(__xludf.DUMMYFUNCTION("LET(
  s, UPPER(TRIM(T24)),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24" s="13"/>
      <c r="N24" s="10" t="str">
        <f t="shared" ref="N24:O24" si="23">V24</f>
        <v>Alfonso </v>
      </c>
      <c r="O24" s="10" t="str">
        <f t="shared" si="23"/>
        <v/>
      </c>
      <c r="P24" s="10"/>
      <c r="Q24" s="10"/>
      <c r="S24" s="14" t="b">
        <v>0</v>
      </c>
      <c r="T24" s="14" t="s">
        <v>199</v>
      </c>
      <c r="U24" s="14" t="s">
        <v>200</v>
      </c>
      <c r="V24" s="14" t="s">
        <v>201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</row>
    <row r="25">
      <c r="A25" s="1" t="s">
        <v>273</v>
      </c>
      <c r="B25" s="10" t="s">
        <v>164</v>
      </c>
      <c r="C25" s="11" t="str">
        <f>IFERROR(__xludf.DUMMYFUNCTION("IFS(
  REGEXMATCH(LOWER(TRIM(N25)),""nico""), ""us_001"",
  REGEXMATCH(LOWER(TRIM(N25)),""alfonso""), ""us_002"",
  REGEXMATCH(LOWER(TRIM(N25)),""patxi""), ""us_003"",
  REGEXMATCH(LOWER(TRIM(N25)),""martin""), ""us_004"",
  TRUE, ""us_999""
)"),"us_002")</f>
        <v>us_002</v>
      </c>
      <c r="D25" s="10" t="str">
        <f>IFERROR(__xludf.DUMMYFUNCTION("""COMPUTED_VALUE"""),"us_002")</f>
        <v>us_002</v>
      </c>
      <c r="E25" s="11" t="s">
        <v>196</v>
      </c>
      <c r="F25" s="11" t="str">
        <f>IFERROR(__xludf.DUMMYFUNCTION("LET(
  s, UPPER(TRIM(N25)),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25" s="1" t="s">
        <v>197</v>
      </c>
      <c r="H25" s="12" t="str">
        <f>IFERROR(__xludf.DUMMYFUNCTION("IFS(
  REGEXMATCH(LOWER(TRIM(U25)),""barcelona""), ""acc_139"",
  REGEXMATCH(LOWER(TRIM(U25)),""madrid""), ""acc_148"",
  REGEXMATCH(LOWER(TRIM(U25)),""zaragoza""), ""acc_149"",
  REGEXMATCH(LOWER(TRIM(U25)),""ibiza""), ""acc_140"",
  REGEXMATCH(LOWER(TRI"&amp;"M(U25)),""mallorca""), ""acc_140"",
  REGEXMATCH(LOWER(TRIM(U25)),""menorca""), ""acc_150"",
  TRUE, """"
)
"),"acc_148")</f>
        <v>acc_148</v>
      </c>
      <c r="I25" s="10" t="s">
        <v>274</v>
      </c>
      <c r="K25" s="1" t="s">
        <v>197</v>
      </c>
      <c r="L25" s="11" t="str">
        <f>IFERROR(__xludf.DUMMYFUNCTION("LET(
  s, UPPER(TRIM(T25)),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25" s="13"/>
      <c r="N25" s="10" t="str">
        <f t="shared" ref="N25:O25" si="24">V25</f>
        <v>Alfonso </v>
      </c>
      <c r="O25" s="10" t="str">
        <f t="shared" si="24"/>
        <v>4 cajas</v>
      </c>
      <c r="P25" s="10"/>
      <c r="Q25" s="10"/>
      <c r="S25" s="14" t="b">
        <v>0</v>
      </c>
      <c r="T25" s="14" t="s">
        <v>199</v>
      </c>
      <c r="U25" s="14" t="s">
        <v>200</v>
      </c>
      <c r="V25" s="14" t="s">
        <v>201</v>
      </c>
      <c r="W25" s="10" t="s">
        <v>275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</row>
    <row r="26">
      <c r="A26" s="1" t="s">
        <v>276</v>
      </c>
      <c r="B26" s="10" t="s">
        <v>277</v>
      </c>
      <c r="C26" s="11" t="str">
        <f>IFERROR(__xludf.DUMMYFUNCTION("IFS(
  REGEXMATCH(LOWER(TRIM(N26)),""nico""), ""us_001"",
  REGEXMATCH(LOWER(TRIM(N26)),""alfonso""), ""us_002"",
  REGEXMATCH(LOWER(TRIM(N26)),""patxi""), ""us_003"",
  REGEXMATCH(LOWER(TRIM(N26)),""martin""), ""us_004"",
  TRUE, ""us_999""
)"),"us_002")</f>
        <v>us_002</v>
      </c>
      <c r="D26" s="10" t="str">
        <f>IFERROR(__xludf.DUMMYFUNCTION("""COMPUTED_VALUE"""),"us_002")</f>
        <v>us_002</v>
      </c>
      <c r="E26" s="11" t="s">
        <v>196</v>
      </c>
      <c r="F26" s="11" t="str">
        <f>IFERROR(__xludf.DUMMYFUNCTION("LET(
  s, UPPER(TRIM(N26)),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26" s="1" t="s">
        <v>197</v>
      </c>
      <c r="H26" s="12" t="str">
        <f>IFERROR(__xludf.DUMMYFUNCTION("IFS(
  REGEXMATCH(LOWER(TRIM(U26)),""barcelona""), ""acc_139"",
  REGEXMATCH(LOWER(TRIM(U26)),""madrid""), ""acc_148"",
  REGEXMATCH(LOWER(TRIM(U26)),""zaragoza""), ""acc_149"",
  REGEXMATCH(LOWER(TRIM(U26)),""ibiza""), ""acc_140"",
  REGEXMATCH(LOWER(TRI"&amp;"M(U26)),""mallorca""), ""acc_140"",
  REGEXMATCH(LOWER(TRIM(U26)),""menorca""), ""acc_150"",
  TRUE, """"
)
"),"acc_148")</f>
        <v>acc_148</v>
      </c>
      <c r="I26" s="10" t="s">
        <v>278</v>
      </c>
      <c r="K26" s="1" t="s">
        <v>197</v>
      </c>
      <c r="L26" s="11" t="str">
        <f>IFERROR(__xludf.DUMMYFUNCTION("LET(
  s, UPPER(TRIM(T26)),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26" s="13"/>
      <c r="N26" s="10" t="str">
        <f t="shared" ref="N26:O26" si="25">V26</f>
        <v>Alfonso </v>
      </c>
      <c r="O26" s="10" t="str">
        <f t="shared" si="25"/>
        <v/>
      </c>
      <c r="P26" s="10"/>
      <c r="Q26" s="10"/>
      <c r="S26" s="14" t="b">
        <v>0</v>
      </c>
      <c r="T26" s="14" t="s">
        <v>199</v>
      </c>
      <c r="U26" s="14" t="s">
        <v>200</v>
      </c>
      <c r="V26" s="14" t="s">
        <v>201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</row>
    <row r="27">
      <c r="A27" s="1" t="s">
        <v>279</v>
      </c>
      <c r="B27" s="10" t="s">
        <v>280</v>
      </c>
      <c r="C27" s="11" t="str">
        <f>IFERROR(__xludf.DUMMYFUNCTION("IFS(
  REGEXMATCH(LOWER(TRIM(N27)),""nico""), ""us_001"",
  REGEXMATCH(LOWER(TRIM(N27)),""alfonso""), ""us_002"",
  REGEXMATCH(LOWER(TRIM(N27)),""patxi""), ""us_003"",
  REGEXMATCH(LOWER(TRIM(N27)),""martin""), ""us_004"",
  TRUE, ""us_999""
)"),"us_001")</f>
        <v>us_001</v>
      </c>
      <c r="D27" s="10" t="str">
        <f>IFERROR(__xludf.DUMMYFUNCTION("""COMPUTED_VALUE"""),"us_001")</f>
        <v>us_001</v>
      </c>
      <c r="E27" s="11" t="s">
        <v>196</v>
      </c>
      <c r="F27" s="11" t="str">
        <f>IFERROR(__xludf.DUMMYFUNCTION("LET(
  s, UPPER(TRIM(N27)),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27" s="1" t="s">
        <v>197</v>
      </c>
      <c r="H27" s="12" t="str">
        <f>IFERROR(__xludf.DUMMYFUNCTION("IFS(
  REGEXMATCH(LOWER(TRIM(U27)),""barcelona""), ""acc_139"",
  REGEXMATCH(LOWER(TRIM(U27)),""madrid""), ""acc_148"",
  REGEXMATCH(LOWER(TRIM(U27)),""zaragoza""), ""acc_149"",
  REGEXMATCH(LOWER(TRIM(U27)),""ibiza""), ""acc_140"",
  REGEXMATCH(LOWER(TRI"&amp;"M(U27)),""mallorca""), ""acc_140"",
  REGEXMATCH(LOWER(TRIM(U27)),""menorca""), ""acc_150"",
  TRUE, """"
)
"),"acc_149")</f>
        <v>acc_149</v>
      </c>
      <c r="I27" s="10"/>
      <c r="K27" s="1" t="s">
        <v>197</v>
      </c>
      <c r="L27" s="11" t="str">
        <f>IFERROR(__xludf.DUMMYFUNCTION("LET(
  s, UPPER(TRIM(T27)),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27" s="13"/>
      <c r="N27" s="10" t="str">
        <f t="shared" ref="N27:O27" si="26">V27</f>
        <v>Nico</v>
      </c>
      <c r="O27" s="10" t="str">
        <f t="shared" si="26"/>
        <v/>
      </c>
      <c r="P27" s="10"/>
      <c r="Q27" s="10"/>
      <c r="S27" s="14" t="b">
        <v>0</v>
      </c>
      <c r="T27" s="14" t="s">
        <v>199</v>
      </c>
      <c r="U27" s="14" t="s">
        <v>215</v>
      </c>
      <c r="V27" s="14" t="s">
        <v>206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>
      <c r="A28" s="1" t="s">
        <v>281</v>
      </c>
      <c r="B28" s="10" t="s">
        <v>150</v>
      </c>
      <c r="C28" s="11" t="str">
        <f>IFERROR(__xludf.DUMMYFUNCTION("IFS(
  REGEXMATCH(LOWER(TRIM(N28)),""nico""), ""us_001"",
  REGEXMATCH(LOWER(TRIM(N28)),""alfonso""), ""us_002"",
  REGEXMATCH(LOWER(TRIM(N28)),""patxi""), ""us_003"",
  REGEXMATCH(LOWER(TRIM(N28)),""martin""), ""us_004"",
  TRUE, ""us_999""
)"),"us_001")</f>
        <v>us_001</v>
      </c>
      <c r="D28" s="10" t="str">
        <f>IFERROR(__xludf.DUMMYFUNCTION("""COMPUTED_VALUE"""),"us_001")</f>
        <v>us_001</v>
      </c>
      <c r="E28" s="11" t="s">
        <v>196</v>
      </c>
      <c r="F28" s="11" t="str">
        <f>IFERROR(__xludf.DUMMYFUNCTION("LET(
  s, UPPER(TRIM(N28)),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28" s="1" t="s">
        <v>197</v>
      </c>
      <c r="H28" s="12" t="str">
        <f>IFERROR(__xludf.DUMMYFUNCTION("IFS(
  REGEXMATCH(LOWER(TRIM(U28)),""barcelona""), ""acc_139"",
  REGEXMATCH(LOWER(TRIM(U28)),""madrid""), ""acc_148"",
  REGEXMATCH(LOWER(TRIM(U28)),""zaragoza""), ""acc_149"",
  REGEXMATCH(LOWER(TRIM(U28)),""ibiza""), ""acc_140"",
  REGEXMATCH(LOWER(TRI"&amp;"M(U28)),""mallorca""), ""acc_140"",
  REGEXMATCH(LOWER(TRIM(U28)),""menorca""), ""acc_150"",
  TRUE, """"
)
"),"acc_149")</f>
        <v>acc_149</v>
      </c>
      <c r="I28" s="10"/>
      <c r="K28" s="1" t="s">
        <v>197</v>
      </c>
      <c r="L28" s="11" t="str">
        <f>IFERROR(__xludf.DUMMYFUNCTION("LET(
  s, UPPER(TRIM(T28)),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28" s="13"/>
      <c r="N28" s="10" t="str">
        <f t="shared" ref="N28:O28" si="27">V28</f>
        <v>Nico</v>
      </c>
      <c r="O28" s="10" t="str">
        <f t="shared" si="27"/>
        <v>4 cajas</v>
      </c>
      <c r="P28" s="10"/>
      <c r="Q28" s="10"/>
      <c r="S28" s="14" t="b">
        <v>0</v>
      </c>
      <c r="T28" s="14" t="s">
        <v>199</v>
      </c>
      <c r="U28" s="14" t="s">
        <v>215</v>
      </c>
      <c r="V28" s="14" t="s">
        <v>206</v>
      </c>
      <c r="W28" s="10" t="s">
        <v>275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</row>
    <row r="29">
      <c r="A29" s="1" t="s">
        <v>282</v>
      </c>
      <c r="B29" s="10" t="s">
        <v>283</v>
      </c>
      <c r="C29" s="11" t="str">
        <f>IFERROR(__xludf.DUMMYFUNCTION("IFS(
  REGEXMATCH(LOWER(TRIM(N29)),""nico""), ""us_001"",
  REGEXMATCH(LOWER(TRIM(N29)),""alfonso""), ""us_002"",
  REGEXMATCH(LOWER(TRIM(N29)),""patxi""), ""us_003"",
  REGEXMATCH(LOWER(TRIM(N29)),""martin""), ""us_004"",
  TRUE, ""us_999""
)"),"us_003")</f>
        <v>us_003</v>
      </c>
      <c r="D29" s="10" t="str">
        <f>IFERROR(__xludf.DUMMYFUNCTION("""COMPUTED_VALUE"""),"us_003")</f>
        <v>us_003</v>
      </c>
      <c r="E29" s="11" t="s">
        <v>196</v>
      </c>
      <c r="F29" s="11" t="str">
        <f>IFERROR(__xludf.DUMMYFUNCTION("LET(
  s, UPPER(TRIM(N29)),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29" s="1" t="s">
        <v>197</v>
      </c>
      <c r="H29" s="12" t="str">
        <f>IFERROR(__xludf.DUMMYFUNCTION("IFS(
  REGEXMATCH(LOWER(TRIM(U29)),""barcelona""), ""acc_139"",
  REGEXMATCH(LOWER(TRIM(U29)),""madrid""), ""acc_148"",
  REGEXMATCH(LOWER(TRIM(U29)),""zaragoza""), ""acc_149"",
  REGEXMATCH(LOWER(TRIM(U29)),""ibiza""), ""acc_140"",
  REGEXMATCH(LOWER(TRI"&amp;"M(U29)),""mallorca""), ""acc_140"",
  REGEXMATCH(LOWER(TRIM(U29)),""menorca""), ""acc_150"",
  TRUE, """"
)
"),"")</f>
        <v/>
      </c>
      <c r="I29" s="10"/>
      <c r="K29" s="1" t="s">
        <v>197</v>
      </c>
      <c r="L29" s="11" t="str">
        <f>IFERROR(__xludf.DUMMYFUNCTION("LET(
  s, UPPER(TRIM(T29)),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29" s="13"/>
      <c r="N29" s="10" t="str">
        <f t="shared" ref="N29:O29" si="28">V29</f>
        <v>Patxi </v>
      </c>
      <c r="O29" s="10" t="str">
        <f t="shared" si="28"/>
        <v/>
      </c>
      <c r="P29" s="10"/>
      <c r="Q29" s="10"/>
      <c r="S29" s="14" t="b">
        <v>0</v>
      </c>
      <c r="T29" s="14" t="s">
        <v>199</v>
      </c>
      <c r="U29" s="14" t="s">
        <v>284</v>
      </c>
      <c r="V29" s="14" t="s">
        <v>222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  <row r="30">
      <c r="A30" s="1" t="s">
        <v>285</v>
      </c>
      <c r="B30" s="10" t="s">
        <v>160</v>
      </c>
      <c r="C30" s="11" t="str">
        <f>IFERROR(__xludf.DUMMYFUNCTION("IFS(
  REGEXMATCH(LOWER(TRIM(N30)),""nico""), ""us_001"",
  REGEXMATCH(LOWER(TRIM(N30)),""alfonso""), ""us_002"",
  REGEXMATCH(LOWER(TRIM(N30)),""patxi""), ""us_003"",
  REGEXMATCH(LOWER(TRIM(N30)),""martin""), ""us_004"",
  TRUE, ""us_999""
)"),"us_001")</f>
        <v>us_001</v>
      </c>
      <c r="D30" s="10" t="str">
        <f>IFERROR(__xludf.DUMMYFUNCTION("""COMPUTED_VALUE"""),"us_001")</f>
        <v>us_001</v>
      </c>
      <c r="E30" s="11" t="s">
        <v>196</v>
      </c>
      <c r="F30" s="11" t="str">
        <f>IFERROR(__xludf.DUMMYFUNCTION("LET(
  s, UPPER(TRIM(N30)),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30" s="1" t="s">
        <v>197</v>
      </c>
      <c r="H30" s="12" t="str">
        <f>IFERROR(__xludf.DUMMYFUNCTION("IFS(
  REGEXMATCH(LOWER(TRIM(U30)),""barcelona""), ""acc_139"",
  REGEXMATCH(LOWER(TRIM(U30)),""madrid""), ""acc_148"",
  REGEXMATCH(LOWER(TRIM(U30)),""zaragoza""), ""acc_149"",
  REGEXMATCH(LOWER(TRIM(U30)),""ibiza""), ""acc_140"",
  REGEXMATCH(LOWER(TRI"&amp;"M(U30)),""mallorca""), ""acc_140"",
  REGEXMATCH(LOWER(TRIM(U30)),""menorca""), ""acc_150"",
  TRUE, """"
)
"),"acc_140")</f>
        <v>acc_140</v>
      </c>
      <c r="I30" s="10"/>
      <c r="K30" s="1" t="s">
        <v>197</v>
      </c>
      <c r="L30" s="11" t="str">
        <f>IFERROR(__xludf.DUMMYFUNCTION("LET(
  s, UPPER(TRIM(T30)),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30" s="13"/>
      <c r="N30" s="10" t="str">
        <f t="shared" ref="N30:O30" si="29">V30</f>
        <v>Nico</v>
      </c>
      <c r="O30" s="10" t="str">
        <f t="shared" si="29"/>
        <v>1 caja</v>
      </c>
      <c r="P30" s="10"/>
      <c r="Q30" s="10"/>
      <c r="S30" s="14" t="b">
        <v>0</v>
      </c>
      <c r="T30" s="14" t="s">
        <v>199</v>
      </c>
      <c r="U30" s="14" t="s">
        <v>286</v>
      </c>
      <c r="V30" s="14" t="s">
        <v>206</v>
      </c>
      <c r="W30" s="10" t="s">
        <v>287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</row>
    <row r="31">
      <c r="A31" s="1" t="s">
        <v>288</v>
      </c>
      <c r="B31" s="10" t="s">
        <v>289</v>
      </c>
      <c r="C31" s="11" t="str">
        <f>IFERROR(__xludf.DUMMYFUNCTION("IFS(
  REGEXMATCH(LOWER(TRIM(N31)),""nico""), ""us_001"",
  REGEXMATCH(LOWER(TRIM(N31)),""alfonso""), ""us_002"",
  REGEXMATCH(LOWER(TRIM(N31)),""patxi""), ""us_003"",
  REGEXMATCH(LOWER(TRIM(N31)),""martin""), ""us_004"",
  TRUE, ""us_999""
)"),"us_003")</f>
        <v>us_003</v>
      </c>
      <c r="D31" s="10" t="str">
        <f>IFERROR(__xludf.DUMMYFUNCTION("""COMPUTED_VALUE"""),"us_003")</f>
        <v>us_003</v>
      </c>
      <c r="E31" s="11" t="s">
        <v>196</v>
      </c>
      <c r="F31" s="11" t="str">
        <f>IFERROR(__xludf.DUMMYFUNCTION("LET(
  s, UPPER(TRIM(N31)),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31" s="1" t="s">
        <v>197</v>
      </c>
      <c r="H31" s="12" t="str">
        <f>IFERROR(__xludf.DUMMYFUNCTION("IFS(
  REGEXMATCH(LOWER(TRIM(U31)),""barcelona""), ""acc_139"",
  REGEXMATCH(LOWER(TRIM(U31)),""madrid""), ""acc_148"",
  REGEXMATCH(LOWER(TRIM(U31)),""zaragoza""), ""acc_149"",
  REGEXMATCH(LOWER(TRIM(U31)),""ibiza""), ""acc_140"",
  REGEXMATCH(LOWER(TRI"&amp;"M(U31)),""mallorca""), ""acc_140"",
  REGEXMATCH(LOWER(TRIM(U31)),""menorca""), ""acc_150"",
  TRUE, """"
)
"),"acc_140")</f>
        <v>acc_140</v>
      </c>
      <c r="I31" s="10"/>
      <c r="K31" s="1" t="s">
        <v>197</v>
      </c>
      <c r="L31" s="11" t="str">
        <f>IFERROR(__xludf.DUMMYFUNCTION("LET(
  s, UPPER(TRIM(T31)),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31" s="13"/>
      <c r="N31" s="10" t="str">
        <f t="shared" ref="N31:O31" si="30">V31</f>
        <v>Patxi </v>
      </c>
      <c r="O31" s="10" t="str">
        <f t="shared" si="30"/>
        <v/>
      </c>
      <c r="P31" s="10"/>
      <c r="Q31" s="10"/>
      <c r="S31" s="14" t="b">
        <v>0</v>
      </c>
      <c r="T31" s="14" t="s">
        <v>199</v>
      </c>
      <c r="U31" s="14" t="s">
        <v>286</v>
      </c>
      <c r="V31" s="14" t="s">
        <v>222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</row>
    <row r="32">
      <c r="A32" s="1" t="s">
        <v>290</v>
      </c>
      <c r="B32" s="10" t="s">
        <v>291</v>
      </c>
      <c r="C32" s="11" t="str">
        <f>IFERROR(__xludf.DUMMYFUNCTION("IFS(
  REGEXMATCH(LOWER(TRIM(N32)),""nico""), ""us_001"",
  REGEXMATCH(LOWER(TRIM(N32)),""alfonso""), ""us_002"",
  REGEXMATCH(LOWER(TRIM(N32)),""patxi""), ""us_003"",
  REGEXMATCH(LOWER(TRIM(N32)),""martin""), ""us_004"",
  TRUE, ""us_999""
)"),"us_001")</f>
        <v>us_001</v>
      </c>
      <c r="D32" s="10" t="str">
        <f>IFERROR(__xludf.DUMMYFUNCTION("""COMPUTED_VALUE"""),"us_001")</f>
        <v>us_001</v>
      </c>
      <c r="E32" s="11" t="s">
        <v>196</v>
      </c>
      <c r="F32" s="11" t="str">
        <f>IFERROR(__xludf.DUMMYFUNCTION("LET(
  s, UPPER(TRIM(N32)),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32" s="1" t="s">
        <v>197</v>
      </c>
      <c r="H32" s="12" t="str">
        <f>IFERROR(__xludf.DUMMYFUNCTION("IFS(
  REGEXMATCH(LOWER(TRIM(U32)),""barcelona""), ""acc_139"",
  REGEXMATCH(LOWER(TRIM(U32)),""madrid""), ""acc_148"",
  REGEXMATCH(LOWER(TRIM(U32)),""zaragoza""), ""acc_149"",
  REGEXMATCH(LOWER(TRIM(U32)),""ibiza""), ""acc_140"",
  REGEXMATCH(LOWER(TRI"&amp;"M(U32)),""mallorca""), ""acc_140"",
  REGEXMATCH(LOWER(TRIM(U32)),""menorca""), ""acc_150"",
  TRUE, """"
)
"),"acc_150")</f>
        <v>acc_150</v>
      </c>
      <c r="I32" s="10" t="s">
        <v>292</v>
      </c>
      <c r="K32" s="1" t="s">
        <v>197</v>
      </c>
      <c r="L32" s="11" t="str">
        <f>IFERROR(__xludf.DUMMYFUNCTION("LET(
  s, UPPER(TRIM(T32)),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"),"POTENCIAL")</f>
        <v>POTENCIAL</v>
      </c>
      <c r="M32" s="13"/>
      <c r="N32" s="10" t="str">
        <f t="shared" ref="N32:O32" si="31">V32</f>
        <v>Nico</v>
      </c>
      <c r="O32" s="10" t="str">
        <f t="shared" si="31"/>
        <v/>
      </c>
      <c r="P32" s="10"/>
      <c r="Q32" s="10"/>
      <c r="S32" s="16"/>
      <c r="T32" s="14" t="s">
        <v>293</v>
      </c>
      <c r="U32" s="14" t="s">
        <v>221</v>
      </c>
      <c r="V32" s="14" t="s">
        <v>206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</row>
    <row r="33">
      <c r="A33" s="1" t="s">
        <v>294</v>
      </c>
      <c r="B33" s="10" t="s">
        <v>295</v>
      </c>
      <c r="C33" s="11" t="str">
        <f>IFERROR(__xludf.DUMMYFUNCTION("IFS(
  REGEXMATCH(LOWER(TRIM(N33)),""nico""), ""us_001"",
  REGEXMATCH(LOWER(TRIM(N33)),""alfonso""), ""us_002"",
  REGEXMATCH(LOWER(TRIM(N33)),""patxi""), ""us_003"",
  REGEXMATCH(LOWER(TRIM(N33)),""martin""), ""us_004"",
  TRUE, ""us_999""
)"),"us_002")</f>
        <v>us_002</v>
      </c>
      <c r="D33" s="10" t="str">
        <f>IFERROR(__xludf.DUMMYFUNCTION("""COMPUTED_VALUE"""),"us_002")</f>
        <v>us_002</v>
      </c>
      <c r="E33" s="11" t="s">
        <v>196</v>
      </c>
      <c r="F33" s="11" t="str">
        <f>IFERROR(__xludf.DUMMYFUNCTION("LET(
  s, UPPER(TRIM(N33)),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33" s="1" t="s">
        <v>197</v>
      </c>
      <c r="H33" s="12" t="str">
        <f>IFERROR(__xludf.DUMMYFUNCTION("IFS(
  REGEXMATCH(LOWER(TRIM(U33)),""barcelona""), ""acc_139"",
  REGEXMATCH(LOWER(TRIM(U33)),""madrid""), ""acc_148"",
  REGEXMATCH(LOWER(TRIM(U33)),""zaragoza""), ""acc_149"",
  REGEXMATCH(LOWER(TRIM(U33)),""ibiza""), ""acc_140"",
  REGEXMATCH(LOWER(TRI"&amp;"M(U33)),""mallorca""), ""acc_140"",
  REGEXMATCH(LOWER(TRIM(U33)),""menorca""), ""acc_150"",
  TRUE, """"
)
"),"acc_148")</f>
        <v>acc_148</v>
      </c>
      <c r="I33" s="10"/>
      <c r="K33" s="1" t="s">
        <v>197</v>
      </c>
      <c r="L33" s="11" t="str">
        <f>IFERROR(__xludf.DUMMYFUNCTION("LET(
  s, UPPER(TRIM(T33)),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33" s="13"/>
      <c r="N33" s="10" t="str">
        <f t="shared" ref="N33:O33" si="32">V33</f>
        <v>Alfonso </v>
      </c>
      <c r="O33" s="10" t="str">
        <f t="shared" si="32"/>
        <v/>
      </c>
      <c r="P33" s="10"/>
      <c r="Q33" s="10"/>
      <c r="S33" s="14" t="b">
        <v>0</v>
      </c>
      <c r="T33" s="14" t="s">
        <v>296</v>
      </c>
      <c r="U33" s="14" t="s">
        <v>200</v>
      </c>
      <c r="V33" s="14" t="s">
        <v>201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</row>
    <row r="34">
      <c r="A34" s="1" t="s">
        <v>297</v>
      </c>
      <c r="B34" s="10" t="s">
        <v>298</v>
      </c>
      <c r="C34" s="11" t="str">
        <f>IFERROR(__xludf.DUMMYFUNCTION("IFS(
  REGEXMATCH(LOWER(TRIM(N34)),""nico""), ""us_001"",
  REGEXMATCH(LOWER(TRIM(N34)),""alfonso""), ""us_002"",
  REGEXMATCH(LOWER(TRIM(N34)),""patxi""), ""us_003"",
  REGEXMATCH(LOWER(TRIM(N34)),""martin""), ""us_004"",
  TRUE, ""us_999""
)"),"us_002")</f>
        <v>us_002</v>
      </c>
      <c r="D34" s="10" t="str">
        <f>IFERROR(__xludf.DUMMYFUNCTION("""COMPUTED_VALUE"""),"us_002")</f>
        <v>us_002</v>
      </c>
      <c r="E34" s="11" t="s">
        <v>196</v>
      </c>
      <c r="F34" s="11" t="str">
        <f>IFERROR(__xludf.DUMMYFUNCTION("LET(
  s, UPPER(TRIM(N34)),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34" s="1" t="s">
        <v>197</v>
      </c>
      <c r="H34" s="12" t="str">
        <f>IFERROR(__xludf.DUMMYFUNCTION("IFS(
  REGEXMATCH(LOWER(TRIM(U34)),""barcelona""), ""acc_139"",
  REGEXMATCH(LOWER(TRIM(U34)),""madrid""), ""acc_148"",
  REGEXMATCH(LOWER(TRIM(U34)),""zaragoza""), ""acc_149"",
  REGEXMATCH(LOWER(TRIM(U34)),""ibiza""), ""acc_140"",
  REGEXMATCH(LOWER(TRI"&amp;"M(U34)),""mallorca""), ""acc_140"",
  REGEXMATCH(LOWER(TRIM(U34)),""menorca""), ""acc_150"",
  TRUE, """"
)
"),"acc_148")</f>
        <v>acc_148</v>
      </c>
      <c r="I34" s="10" t="s">
        <v>299</v>
      </c>
      <c r="K34" s="1" t="s">
        <v>197</v>
      </c>
      <c r="L34" s="11" t="str">
        <f>IFERROR(__xludf.DUMMYFUNCTION("LET(
  s, UPPER(TRIM(T34)),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34" s="13"/>
      <c r="N34" s="10" t="str">
        <f t="shared" ref="N34:O34" si="33">V34</f>
        <v>Alfonso </v>
      </c>
      <c r="O34" s="10" t="str">
        <f t="shared" si="33"/>
        <v/>
      </c>
      <c r="P34" s="10"/>
      <c r="Q34" s="10"/>
      <c r="S34" s="14" t="b">
        <v>0</v>
      </c>
      <c r="T34" s="14" t="s">
        <v>296</v>
      </c>
      <c r="U34" s="14" t="s">
        <v>200</v>
      </c>
      <c r="V34" s="14" t="s">
        <v>201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</row>
    <row r="35">
      <c r="A35" s="1" t="s">
        <v>300</v>
      </c>
      <c r="B35" s="10" t="s">
        <v>301</v>
      </c>
      <c r="C35" s="11" t="str">
        <f>IFERROR(__xludf.DUMMYFUNCTION("IFS(
  REGEXMATCH(LOWER(TRIM(N35)),""nico""), ""us_001"",
  REGEXMATCH(LOWER(TRIM(N35)),""alfonso""), ""us_002"",
  REGEXMATCH(LOWER(TRIM(N35)),""patxi""), ""us_003"",
  REGEXMATCH(LOWER(TRIM(N35)),""martin""), ""us_004"",
  TRUE, ""us_999""
)"),"us_002")</f>
        <v>us_002</v>
      </c>
      <c r="D35" s="10" t="str">
        <f>IFERROR(__xludf.DUMMYFUNCTION("""COMPUTED_VALUE"""),"us_002")</f>
        <v>us_002</v>
      </c>
      <c r="E35" s="11" t="s">
        <v>196</v>
      </c>
      <c r="F35" s="11" t="str">
        <f>IFERROR(__xludf.DUMMYFUNCTION("LET(
  s, UPPER(TRIM(N35)),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35" s="1" t="s">
        <v>197</v>
      </c>
      <c r="H35" s="12" t="str">
        <f>IFERROR(__xludf.DUMMYFUNCTION("IFS(
  REGEXMATCH(LOWER(TRIM(U35)),""barcelona""), ""acc_139"",
  REGEXMATCH(LOWER(TRIM(U35)),""madrid""), ""acc_148"",
  REGEXMATCH(LOWER(TRIM(U35)),""zaragoza""), ""acc_149"",
  REGEXMATCH(LOWER(TRIM(U35)),""ibiza""), ""acc_140"",
  REGEXMATCH(LOWER(TRI"&amp;"M(U35)),""mallorca""), ""acc_140"",
  REGEXMATCH(LOWER(TRIM(U35)),""menorca""), ""acc_150"",
  TRUE, """"
)
"),"acc_148")</f>
        <v>acc_148</v>
      </c>
      <c r="I35" s="10" t="s">
        <v>302</v>
      </c>
      <c r="K35" s="1" t="s">
        <v>197</v>
      </c>
      <c r="L35" s="11" t="str">
        <f>IFERROR(__xludf.DUMMYFUNCTION("LET(
  s, UPPER(TRIM(T35)),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35" s="13"/>
      <c r="N35" s="10" t="str">
        <f t="shared" ref="N35:O35" si="34">V35</f>
        <v>Alfonso </v>
      </c>
      <c r="O35" s="10" t="str">
        <f t="shared" si="34"/>
        <v/>
      </c>
      <c r="P35" s="10"/>
      <c r="Q35" s="10"/>
      <c r="S35" s="14" t="b">
        <v>0</v>
      </c>
      <c r="T35" s="14" t="s">
        <v>296</v>
      </c>
      <c r="U35" s="14" t="s">
        <v>200</v>
      </c>
      <c r="V35" s="14" t="s">
        <v>201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</row>
    <row r="36">
      <c r="A36" s="1" t="s">
        <v>303</v>
      </c>
      <c r="B36" s="10" t="s">
        <v>304</v>
      </c>
      <c r="C36" s="11" t="str">
        <f>IFERROR(__xludf.DUMMYFUNCTION("IFS(
  REGEXMATCH(LOWER(TRIM(N36)),""nico""), ""us_001"",
  REGEXMATCH(LOWER(TRIM(N36)),""alfonso""), ""us_002"",
  REGEXMATCH(LOWER(TRIM(N36)),""patxi""), ""us_003"",
  REGEXMATCH(LOWER(TRIM(N36)),""martin""), ""us_004"",
  TRUE, ""us_999""
)"),"us_002")</f>
        <v>us_002</v>
      </c>
      <c r="D36" s="10" t="str">
        <f>IFERROR(__xludf.DUMMYFUNCTION("""COMPUTED_VALUE"""),"us_002")</f>
        <v>us_002</v>
      </c>
      <c r="E36" s="11" t="s">
        <v>196</v>
      </c>
      <c r="F36" s="11" t="str">
        <f>IFERROR(__xludf.DUMMYFUNCTION("LET(
  s, UPPER(TRIM(N36)),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36" s="1" t="s">
        <v>197</v>
      </c>
      <c r="H36" s="12" t="str">
        <f>IFERROR(__xludf.DUMMYFUNCTION("IFS(
  REGEXMATCH(LOWER(TRIM(U36)),""barcelona""), ""acc_139"",
  REGEXMATCH(LOWER(TRIM(U36)),""madrid""), ""acc_148"",
  REGEXMATCH(LOWER(TRIM(U36)),""zaragoza""), ""acc_149"",
  REGEXMATCH(LOWER(TRIM(U36)),""ibiza""), ""acc_140"",
  REGEXMATCH(LOWER(TRI"&amp;"M(U36)),""mallorca""), ""acc_140"",
  REGEXMATCH(LOWER(TRIM(U36)),""menorca""), ""acc_150"",
  TRUE, """"
)
"),"acc_148")</f>
        <v>acc_148</v>
      </c>
      <c r="I36" s="10" t="s">
        <v>305</v>
      </c>
      <c r="K36" s="1" t="s">
        <v>197</v>
      </c>
      <c r="L36" s="11" t="str">
        <f>IFERROR(__xludf.DUMMYFUNCTION("LET(
  s, UPPER(TRIM(T36)),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36" s="13"/>
      <c r="N36" s="10" t="str">
        <f t="shared" ref="N36:O36" si="35">V36</f>
        <v>Alfonso </v>
      </c>
      <c r="O36" s="10" t="str">
        <f t="shared" si="35"/>
        <v/>
      </c>
      <c r="P36" s="10"/>
      <c r="Q36" s="10"/>
      <c r="S36" s="14" t="b">
        <v>0</v>
      </c>
      <c r="T36" s="14" t="s">
        <v>296</v>
      </c>
      <c r="U36" s="14" t="s">
        <v>200</v>
      </c>
      <c r="V36" s="14" t="s">
        <v>201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</row>
    <row r="37">
      <c r="A37" s="1" t="s">
        <v>306</v>
      </c>
      <c r="B37" s="10" t="s">
        <v>152</v>
      </c>
      <c r="C37" s="11" t="str">
        <f>IFERROR(__xludf.DUMMYFUNCTION("IFS(
  REGEXMATCH(LOWER(TRIM(N37)),""nico""), ""us_001"",
  REGEXMATCH(LOWER(TRIM(N37)),""alfonso""), ""us_002"",
  REGEXMATCH(LOWER(TRIM(N37)),""patxi""), ""us_003"",
  REGEXMATCH(LOWER(TRIM(N37)),""martin""), ""us_004"",
  TRUE, ""us_999""
)"),"us_002")</f>
        <v>us_002</v>
      </c>
      <c r="D37" s="10" t="str">
        <f>IFERROR(__xludf.DUMMYFUNCTION("""COMPUTED_VALUE"""),"us_002")</f>
        <v>us_002</v>
      </c>
      <c r="E37" s="11" t="s">
        <v>196</v>
      </c>
      <c r="F37" s="11" t="str">
        <f>IFERROR(__xludf.DUMMYFUNCTION("LET(
  s, UPPER(TRIM(N37)),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37" s="1" t="s">
        <v>197</v>
      </c>
      <c r="H37" s="12" t="str">
        <f>IFERROR(__xludf.DUMMYFUNCTION("IFS(
  REGEXMATCH(LOWER(TRIM(U37)),""barcelona""), ""acc_139"",
  REGEXMATCH(LOWER(TRIM(U37)),""madrid""), ""acc_148"",
  REGEXMATCH(LOWER(TRIM(U37)),""zaragoza""), ""acc_149"",
  REGEXMATCH(LOWER(TRIM(U37)),""ibiza""), ""acc_140"",
  REGEXMATCH(LOWER(TRI"&amp;"M(U37)),""mallorca""), ""acc_140"",
  REGEXMATCH(LOWER(TRIM(U37)),""menorca""), ""acc_150"",
  TRUE, """"
)
"),"acc_148")</f>
        <v>acc_148</v>
      </c>
      <c r="I37" s="10" t="s">
        <v>307</v>
      </c>
      <c r="K37" s="1" t="s">
        <v>197</v>
      </c>
      <c r="L37" s="11" t="str">
        <f>IFERROR(__xludf.DUMMYFUNCTION("LET(
  s, UPPER(TRIM(T37)),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37" s="13"/>
      <c r="N37" s="10" t="str">
        <f t="shared" ref="N37:O37" si="36">V37</f>
        <v>Alfonso </v>
      </c>
      <c r="O37" s="10" t="str">
        <f t="shared" si="36"/>
        <v>1 caja</v>
      </c>
      <c r="P37" s="10"/>
      <c r="Q37" s="10"/>
      <c r="S37" s="14" t="b">
        <v>0</v>
      </c>
      <c r="T37" s="14" t="s">
        <v>199</v>
      </c>
      <c r="U37" s="14" t="s">
        <v>200</v>
      </c>
      <c r="V37" s="14" t="s">
        <v>201</v>
      </c>
      <c r="W37" s="10" t="s">
        <v>287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</row>
    <row r="38">
      <c r="A38" s="1" t="s">
        <v>308</v>
      </c>
      <c r="B38" s="10" t="s">
        <v>309</v>
      </c>
      <c r="C38" s="11" t="str">
        <f>IFERROR(__xludf.DUMMYFUNCTION("IFS(
  REGEXMATCH(LOWER(TRIM(N38)),""nico""), ""us_001"",
  REGEXMATCH(LOWER(TRIM(N38)),""alfonso""), ""us_002"",
  REGEXMATCH(LOWER(TRIM(N38)),""patxi""), ""us_003"",
  REGEXMATCH(LOWER(TRIM(N38)),""martin""), ""us_004"",
  TRUE, ""us_999""
)"),"us_002")</f>
        <v>us_002</v>
      </c>
      <c r="D38" s="10" t="str">
        <f>IFERROR(__xludf.DUMMYFUNCTION("""COMPUTED_VALUE"""),"us_002")</f>
        <v>us_002</v>
      </c>
      <c r="E38" s="11" t="s">
        <v>196</v>
      </c>
      <c r="F38" s="11" t="str">
        <f>IFERROR(__xludf.DUMMYFUNCTION("LET(
  s, UPPER(TRIM(N38)),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38" s="1" t="s">
        <v>197</v>
      </c>
      <c r="H38" s="12" t="str">
        <f>IFERROR(__xludf.DUMMYFUNCTION("IFS(
  REGEXMATCH(LOWER(TRIM(U38)),""barcelona""), ""acc_139"",
  REGEXMATCH(LOWER(TRIM(U38)),""madrid""), ""acc_148"",
  REGEXMATCH(LOWER(TRIM(U38)),""zaragoza""), ""acc_149"",
  REGEXMATCH(LOWER(TRIM(U38)),""ibiza""), ""acc_140"",
  REGEXMATCH(LOWER(TRI"&amp;"M(U38)),""mallorca""), ""acc_140"",
  REGEXMATCH(LOWER(TRIM(U38)),""menorca""), ""acc_150"",
  TRUE, """"
)
"),"acc_148")</f>
        <v>acc_148</v>
      </c>
      <c r="I38" s="10" t="s">
        <v>310</v>
      </c>
      <c r="K38" s="1" t="s">
        <v>197</v>
      </c>
      <c r="L38" s="11" t="str">
        <f>IFERROR(__xludf.DUMMYFUNCTION("LET(
  s, UPPER(TRIM(T38)),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38" s="13"/>
      <c r="N38" s="10" t="str">
        <f t="shared" ref="N38:O38" si="37">V38</f>
        <v>Alfonso </v>
      </c>
      <c r="O38" s="10" t="str">
        <f t="shared" si="37"/>
        <v/>
      </c>
      <c r="P38" s="10"/>
      <c r="Q38" s="10"/>
      <c r="S38" s="16"/>
      <c r="T38" s="14" t="s">
        <v>296</v>
      </c>
      <c r="U38" s="14" t="s">
        <v>311</v>
      </c>
      <c r="V38" s="14" t="s">
        <v>201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</row>
    <row r="39">
      <c r="A39" s="1" t="s">
        <v>312</v>
      </c>
      <c r="B39" s="10" t="s">
        <v>313</v>
      </c>
      <c r="C39" s="11" t="str">
        <f>IFERROR(__xludf.DUMMYFUNCTION("IFS(
  REGEXMATCH(LOWER(TRIM(N39)),""nico""), ""us_001"",
  REGEXMATCH(LOWER(TRIM(N39)),""alfonso""), ""us_002"",
  REGEXMATCH(LOWER(TRIM(N39)),""patxi""), ""us_003"",
  REGEXMATCH(LOWER(TRIM(N39)),""martin""), ""us_004"",
  TRUE, ""us_999""
)"),"us_002")</f>
        <v>us_002</v>
      </c>
      <c r="D39" s="10" t="str">
        <f>IFERROR(__xludf.DUMMYFUNCTION("""COMPUTED_VALUE"""),"us_002")</f>
        <v>us_002</v>
      </c>
      <c r="E39" s="11" t="s">
        <v>196</v>
      </c>
      <c r="F39" s="11" t="str">
        <f>IFERROR(__xludf.DUMMYFUNCTION("LET(
  s, UPPER(TRIM(N39)),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39" s="1" t="s">
        <v>197</v>
      </c>
      <c r="H39" s="12" t="str">
        <f>IFERROR(__xludf.DUMMYFUNCTION("IFS(
  REGEXMATCH(LOWER(TRIM(U39)),""barcelona""), ""acc_139"",
  REGEXMATCH(LOWER(TRIM(U39)),""madrid""), ""acc_148"",
  REGEXMATCH(LOWER(TRIM(U39)),""zaragoza""), ""acc_149"",
  REGEXMATCH(LOWER(TRIM(U39)),""ibiza""), ""acc_140"",
  REGEXMATCH(LOWER(TRI"&amp;"M(U39)),""mallorca""), ""acc_140"",
  REGEXMATCH(LOWER(TRIM(U39)),""menorca""), ""acc_150"",
  TRUE, """"
)
"),"acc_148")</f>
        <v>acc_148</v>
      </c>
      <c r="I39" s="10" t="s">
        <v>314</v>
      </c>
      <c r="K39" s="1" t="s">
        <v>197</v>
      </c>
      <c r="L39" s="11" t="str">
        <f>IFERROR(__xludf.DUMMYFUNCTION("LET(
  s, UPPER(TRIM(T39)),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39" s="13"/>
      <c r="N39" s="10" t="str">
        <f t="shared" ref="N39:O39" si="38">V39</f>
        <v>Alfonso </v>
      </c>
      <c r="O39" s="10" t="str">
        <f t="shared" si="38"/>
        <v/>
      </c>
      <c r="P39" s="10"/>
      <c r="Q39" s="10"/>
      <c r="S39" s="14" t="b">
        <v>0</v>
      </c>
      <c r="T39" s="14" t="s">
        <v>296</v>
      </c>
      <c r="U39" s="14" t="s">
        <v>200</v>
      </c>
      <c r="V39" s="14" t="s">
        <v>201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</row>
    <row r="40">
      <c r="A40" s="1" t="s">
        <v>315</v>
      </c>
      <c r="B40" s="10" t="s">
        <v>316</v>
      </c>
      <c r="C40" s="11" t="str">
        <f>IFERROR(__xludf.DUMMYFUNCTION("IFS(
  REGEXMATCH(LOWER(TRIM(N40)),""nico""), ""us_001"",
  REGEXMATCH(LOWER(TRIM(N40)),""alfonso""), ""us_002"",
  REGEXMATCH(LOWER(TRIM(N40)),""patxi""), ""us_003"",
  REGEXMATCH(LOWER(TRIM(N40)),""martin""), ""us_004"",
  TRUE, ""us_999""
)"),"us_002")</f>
        <v>us_002</v>
      </c>
      <c r="D40" s="10" t="str">
        <f>IFERROR(__xludf.DUMMYFUNCTION("""COMPUTED_VALUE"""),"us_002")</f>
        <v>us_002</v>
      </c>
      <c r="E40" s="11" t="s">
        <v>196</v>
      </c>
      <c r="F40" s="11" t="str">
        <f>IFERROR(__xludf.DUMMYFUNCTION("LET(
  s, UPPER(TRIM(N40)),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40" s="1" t="s">
        <v>197</v>
      </c>
      <c r="H40" s="12" t="str">
        <f>IFERROR(__xludf.DUMMYFUNCTION("IFS(
  REGEXMATCH(LOWER(TRIM(U40)),""barcelona""), ""acc_139"",
  REGEXMATCH(LOWER(TRIM(U40)),""madrid""), ""acc_148"",
  REGEXMATCH(LOWER(TRIM(U40)),""zaragoza""), ""acc_149"",
  REGEXMATCH(LOWER(TRIM(U40)),""ibiza""), ""acc_140"",
  REGEXMATCH(LOWER(TRI"&amp;"M(U40)),""mallorca""), ""acc_140"",
  REGEXMATCH(LOWER(TRIM(U40)),""menorca""), ""acc_150"",
  TRUE, """"
)
"),"acc_148")</f>
        <v>acc_148</v>
      </c>
      <c r="I40" s="10" t="s">
        <v>235</v>
      </c>
      <c r="K40" s="1" t="s">
        <v>197</v>
      </c>
      <c r="L40" s="11" t="str">
        <f>IFERROR(__xludf.DUMMYFUNCTION("LET(
  s, UPPER(TRIM(T40)),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40" s="13"/>
      <c r="N40" s="10" t="str">
        <f t="shared" ref="N40:O40" si="39">V40</f>
        <v>Alfonso </v>
      </c>
      <c r="O40" s="10" t="str">
        <f t="shared" si="39"/>
        <v/>
      </c>
      <c r="P40" s="10"/>
      <c r="Q40" s="10"/>
      <c r="S40" s="14" t="b">
        <v>0</v>
      </c>
      <c r="T40" s="14" t="s">
        <v>296</v>
      </c>
      <c r="U40" s="14" t="s">
        <v>200</v>
      </c>
      <c r="V40" s="14" t="s">
        <v>201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</row>
    <row r="41">
      <c r="A41" s="1" t="s">
        <v>317</v>
      </c>
      <c r="B41" s="10" t="s">
        <v>318</v>
      </c>
      <c r="C41" s="11" t="str">
        <f>IFERROR(__xludf.DUMMYFUNCTION("IFS(
  REGEXMATCH(LOWER(TRIM(N41)),""nico""), ""us_001"",
  REGEXMATCH(LOWER(TRIM(N41)),""alfonso""), ""us_002"",
  REGEXMATCH(LOWER(TRIM(N41)),""patxi""), ""us_003"",
  REGEXMATCH(LOWER(TRIM(N41)),""martin""), ""us_004"",
  TRUE, ""us_999""
)"),"us_002")</f>
        <v>us_002</v>
      </c>
      <c r="D41" s="10" t="str">
        <f>IFERROR(__xludf.DUMMYFUNCTION("""COMPUTED_VALUE"""),"us_002")</f>
        <v>us_002</v>
      </c>
      <c r="E41" s="11" t="s">
        <v>196</v>
      </c>
      <c r="F41" s="11" t="str">
        <f>IFERROR(__xludf.DUMMYFUNCTION("LET(
  s, UPPER(TRIM(N41)),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41" s="1" t="s">
        <v>197</v>
      </c>
      <c r="H41" s="12" t="str">
        <f>IFERROR(__xludf.DUMMYFUNCTION("IFS(
  REGEXMATCH(LOWER(TRIM(U41)),""barcelona""), ""acc_139"",
  REGEXMATCH(LOWER(TRIM(U41)),""madrid""), ""acc_148"",
  REGEXMATCH(LOWER(TRIM(U41)),""zaragoza""), ""acc_149"",
  REGEXMATCH(LOWER(TRIM(U41)),""ibiza""), ""acc_140"",
  REGEXMATCH(LOWER(TRI"&amp;"M(U41)),""mallorca""), ""acc_140"",
  REGEXMATCH(LOWER(TRIM(U41)),""menorca""), ""acc_150"",
  TRUE, """"
)
"),"acc_148")</f>
        <v>acc_148</v>
      </c>
      <c r="I41" s="10" t="s">
        <v>319</v>
      </c>
      <c r="K41" s="1" t="s">
        <v>197</v>
      </c>
      <c r="L41" s="11" t="str">
        <f>IFERROR(__xludf.DUMMYFUNCTION("LET(
  s, UPPER(TRIM(T41)),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41" s="13"/>
      <c r="N41" s="10" t="str">
        <f t="shared" ref="N41:O41" si="40">V41</f>
        <v>Alfonso </v>
      </c>
      <c r="O41" s="10" t="str">
        <f t="shared" si="40"/>
        <v/>
      </c>
      <c r="P41" s="10"/>
      <c r="Q41" s="10"/>
      <c r="S41" s="14" t="b">
        <v>0</v>
      </c>
      <c r="T41" s="14" t="s">
        <v>296</v>
      </c>
      <c r="U41" s="14" t="s">
        <v>200</v>
      </c>
      <c r="V41" s="14" t="s">
        <v>201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</row>
    <row r="42">
      <c r="A42" s="1" t="s">
        <v>320</v>
      </c>
      <c r="B42" s="10" t="s">
        <v>321</v>
      </c>
      <c r="C42" s="11" t="str">
        <f>IFERROR(__xludf.DUMMYFUNCTION("IFS(
  REGEXMATCH(LOWER(TRIM(N42)),""nico""), ""us_001"",
  REGEXMATCH(LOWER(TRIM(N42)),""alfonso""), ""us_002"",
  REGEXMATCH(LOWER(TRIM(N42)),""patxi""), ""us_003"",
  REGEXMATCH(LOWER(TRIM(N42)),""martin""), ""us_004"",
  TRUE, ""us_999""
)"),"us_001")</f>
        <v>us_001</v>
      </c>
      <c r="D42" s="10" t="str">
        <f>IFERROR(__xludf.DUMMYFUNCTION("""COMPUTED_VALUE"""),"us_001")</f>
        <v>us_001</v>
      </c>
      <c r="E42" s="11" t="s">
        <v>196</v>
      </c>
      <c r="F42" s="11" t="str">
        <f>IFERROR(__xludf.DUMMYFUNCTION("LET(
  s, UPPER(TRIM(N42)),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42" s="1" t="s">
        <v>197</v>
      </c>
      <c r="H42" s="12" t="str">
        <f>IFERROR(__xludf.DUMMYFUNCTION("IFS(
  REGEXMATCH(LOWER(TRIM(U42)),""barcelona""), ""acc_139"",
  REGEXMATCH(LOWER(TRIM(U42)),""madrid""), ""acc_148"",
  REGEXMATCH(LOWER(TRIM(U42)),""zaragoza""), ""acc_149"",
  REGEXMATCH(LOWER(TRIM(U42)),""ibiza""), ""acc_140"",
  REGEXMATCH(LOWER(TRI"&amp;"M(U42)),""mallorca""), ""acc_140"",
  REGEXMATCH(LOWER(TRIM(U42)),""menorca""), ""acc_150"",
  TRUE, """"
)
"),"acc_148")</f>
        <v>acc_148</v>
      </c>
      <c r="I42" s="10" t="s">
        <v>322</v>
      </c>
      <c r="K42" s="1" t="s">
        <v>197</v>
      </c>
      <c r="L42" s="11" t="str">
        <f>IFERROR(__xludf.DUMMYFUNCTION("LET(
  s, UPPER(TRIM(T42)),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42" s="13"/>
      <c r="N42" s="10" t="str">
        <f t="shared" ref="N42:O42" si="41">V42</f>
        <v>Nico</v>
      </c>
      <c r="O42" s="10" t="str">
        <f t="shared" si="41"/>
        <v/>
      </c>
      <c r="P42" s="10"/>
      <c r="Q42" s="10"/>
      <c r="S42" s="14" t="b">
        <v>0</v>
      </c>
      <c r="T42" s="14" t="s">
        <v>296</v>
      </c>
      <c r="U42" s="14" t="s">
        <v>200</v>
      </c>
      <c r="V42" s="14" t="s">
        <v>206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</row>
    <row r="43">
      <c r="A43" s="1" t="s">
        <v>323</v>
      </c>
      <c r="B43" s="10" t="s">
        <v>324</v>
      </c>
      <c r="C43" s="11" t="str">
        <f>IFERROR(__xludf.DUMMYFUNCTION("IFS(
  REGEXMATCH(LOWER(TRIM(N43)),""nico""), ""us_001"",
  REGEXMATCH(LOWER(TRIM(N43)),""alfonso""), ""us_002"",
  REGEXMATCH(LOWER(TRIM(N43)),""patxi""), ""us_003"",
  REGEXMATCH(LOWER(TRIM(N43)),""martin""), ""us_004"",
  TRUE, ""us_999""
)"),"us_001")</f>
        <v>us_001</v>
      </c>
      <c r="D43" s="10" t="str">
        <f>IFERROR(__xludf.DUMMYFUNCTION("""COMPUTED_VALUE"""),"us_001")</f>
        <v>us_001</v>
      </c>
      <c r="E43" s="11" t="s">
        <v>196</v>
      </c>
      <c r="F43" s="11" t="str">
        <f>IFERROR(__xludf.DUMMYFUNCTION("LET(
  s, UPPER(TRIM(N43)),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43" s="1" t="s">
        <v>197</v>
      </c>
      <c r="H43" s="12" t="str">
        <f>IFERROR(__xludf.DUMMYFUNCTION("IFS(
  REGEXMATCH(LOWER(TRIM(U43)),""barcelona""), ""acc_139"",
  REGEXMATCH(LOWER(TRIM(U43)),""madrid""), ""acc_148"",
  REGEXMATCH(LOWER(TRIM(U43)),""zaragoza""), ""acc_149"",
  REGEXMATCH(LOWER(TRIM(U43)),""ibiza""), ""acc_140"",
  REGEXMATCH(LOWER(TRI"&amp;"M(U43)),""mallorca""), ""acc_140"",
  REGEXMATCH(LOWER(TRIM(U43)),""menorca""), ""acc_150"",
  TRUE, """"
)
"),"acc_148")</f>
        <v>acc_148</v>
      </c>
      <c r="I43" s="10"/>
      <c r="K43" s="1" t="s">
        <v>197</v>
      </c>
      <c r="L43" s="11" t="str">
        <f>IFERROR(__xludf.DUMMYFUNCTION("LET(
  s, UPPER(TRIM(T43)),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43" s="13"/>
      <c r="N43" s="10" t="str">
        <f t="shared" ref="N43:O43" si="42">V43</f>
        <v>Nico</v>
      </c>
      <c r="O43" s="10" t="str">
        <f t="shared" si="42"/>
        <v/>
      </c>
      <c r="P43" s="10"/>
      <c r="Q43" s="10"/>
      <c r="S43" s="14" t="b">
        <v>0</v>
      </c>
      <c r="T43" s="14" t="s">
        <v>296</v>
      </c>
      <c r="U43" s="14" t="s">
        <v>200</v>
      </c>
      <c r="V43" s="14" t="s">
        <v>206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</row>
    <row r="44">
      <c r="A44" s="1" t="s">
        <v>325</v>
      </c>
      <c r="B44" s="10" t="s">
        <v>326</v>
      </c>
      <c r="C44" s="11" t="str">
        <f>IFERROR(__xludf.DUMMYFUNCTION("IFS(
  REGEXMATCH(LOWER(TRIM(N44)),""nico""), ""us_001"",
  REGEXMATCH(LOWER(TRIM(N44)),""alfonso""), ""us_002"",
  REGEXMATCH(LOWER(TRIM(N44)),""patxi""), ""us_003"",
  REGEXMATCH(LOWER(TRIM(N44)),""martin""), ""us_004"",
  TRUE, ""us_999""
)"),"us_001")</f>
        <v>us_001</v>
      </c>
      <c r="D44" s="10" t="str">
        <f>IFERROR(__xludf.DUMMYFUNCTION("""COMPUTED_VALUE"""),"us_001")</f>
        <v>us_001</v>
      </c>
      <c r="E44" s="11" t="s">
        <v>196</v>
      </c>
      <c r="F44" s="11" t="str">
        <f>IFERROR(__xludf.DUMMYFUNCTION("LET(
  s, UPPER(TRIM(N44)),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44" s="1" t="s">
        <v>197</v>
      </c>
      <c r="H44" s="12" t="str">
        <f>IFERROR(__xludf.DUMMYFUNCTION("IFS(
  REGEXMATCH(LOWER(TRIM(U44)),""barcelona""), ""acc_139"",
  REGEXMATCH(LOWER(TRIM(U44)),""madrid""), ""acc_148"",
  REGEXMATCH(LOWER(TRIM(U44)),""zaragoza""), ""acc_149"",
  REGEXMATCH(LOWER(TRIM(U44)),""ibiza""), ""acc_140"",
  REGEXMATCH(LOWER(TRI"&amp;"M(U44)),""mallorca""), ""acc_140"",
  REGEXMATCH(LOWER(TRIM(U44)),""menorca""), ""acc_150"",
  TRUE, """"
)
"),"acc_148")</f>
        <v>acc_148</v>
      </c>
      <c r="I44" s="10"/>
      <c r="K44" s="1" t="s">
        <v>197</v>
      </c>
      <c r="L44" s="11" t="str">
        <f>IFERROR(__xludf.DUMMYFUNCTION("LET(
  s, UPPER(TRIM(T44)),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44" s="13"/>
      <c r="N44" s="10" t="str">
        <f t="shared" ref="N44:O44" si="43">V44</f>
        <v>Nico</v>
      </c>
      <c r="O44" s="10" t="str">
        <f t="shared" si="43"/>
        <v/>
      </c>
      <c r="P44" s="10"/>
      <c r="Q44" s="10"/>
      <c r="S44" s="14" t="b">
        <v>0</v>
      </c>
      <c r="T44" s="14" t="s">
        <v>296</v>
      </c>
      <c r="U44" s="14" t="s">
        <v>200</v>
      </c>
      <c r="V44" s="14" t="s">
        <v>206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</row>
    <row r="45">
      <c r="A45" s="1" t="s">
        <v>327</v>
      </c>
      <c r="B45" s="10" t="s">
        <v>328</v>
      </c>
      <c r="C45" s="11" t="str">
        <f>IFERROR(__xludf.DUMMYFUNCTION("IFS(
  REGEXMATCH(LOWER(TRIM(N45)),""nico""), ""us_001"",
  REGEXMATCH(LOWER(TRIM(N45)),""alfonso""), ""us_002"",
  REGEXMATCH(LOWER(TRIM(N45)),""patxi""), ""us_003"",
  REGEXMATCH(LOWER(TRIM(N45)),""martin""), ""us_004"",
  TRUE, ""us_999""
)"),"us_001")</f>
        <v>us_001</v>
      </c>
      <c r="D45" s="10" t="str">
        <f>IFERROR(__xludf.DUMMYFUNCTION("""COMPUTED_VALUE"""),"us_001")</f>
        <v>us_001</v>
      </c>
      <c r="E45" s="11" t="s">
        <v>196</v>
      </c>
      <c r="F45" s="11" t="str">
        <f>IFERROR(__xludf.DUMMYFUNCTION("LET(
  s, UPPER(TRIM(N45)),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45" s="1" t="s">
        <v>197</v>
      </c>
      <c r="H45" s="12" t="str">
        <f>IFERROR(__xludf.DUMMYFUNCTION("IFS(
  REGEXMATCH(LOWER(TRIM(U45)),""barcelona""), ""acc_139"",
  REGEXMATCH(LOWER(TRIM(U45)),""madrid""), ""acc_148"",
  REGEXMATCH(LOWER(TRIM(U45)),""zaragoza""), ""acc_149"",
  REGEXMATCH(LOWER(TRIM(U45)),""ibiza""), ""acc_140"",
  REGEXMATCH(LOWER(TRI"&amp;"M(U45)),""mallorca""), ""acc_140"",
  REGEXMATCH(LOWER(TRIM(U45)),""menorca""), ""acc_150"",
  TRUE, """"
)
"),"acc_148")</f>
        <v>acc_148</v>
      </c>
      <c r="I45" s="10"/>
      <c r="K45" s="1" t="s">
        <v>197</v>
      </c>
      <c r="L45" s="11" t="str">
        <f>IFERROR(__xludf.DUMMYFUNCTION("LET(
  s, UPPER(TRIM(T45)),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45" s="13"/>
      <c r="N45" s="10" t="str">
        <f t="shared" ref="N45:O45" si="44">V45</f>
        <v>Nico</v>
      </c>
      <c r="O45" s="10" t="str">
        <f t="shared" si="44"/>
        <v/>
      </c>
      <c r="P45" s="10"/>
      <c r="Q45" s="10"/>
      <c r="S45" s="14" t="b">
        <v>0</v>
      </c>
      <c r="T45" s="14" t="s">
        <v>296</v>
      </c>
      <c r="U45" s="14" t="s">
        <v>200</v>
      </c>
      <c r="V45" s="14" t="s">
        <v>206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>
      <c r="A46" s="1" t="s">
        <v>329</v>
      </c>
      <c r="B46" s="10" t="s">
        <v>330</v>
      </c>
      <c r="C46" s="11" t="str">
        <f>IFERROR(__xludf.DUMMYFUNCTION("IFS(
  REGEXMATCH(LOWER(TRIM(N46)),""nico""), ""us_001"",
  REGEXMATCH(LOWER(TRIM(N46)),""alfonso""), ""us_002"",
  REGEXMATCH(LOWER(TRIM(N46)),""patxi""), ""us_003"",
  REGEXMATCH(LOWER(TRIM(N46)),""martin""), ""us_004"",
  TRUE, ""us_999""
)"),"us_001")</f>
        <v>us_001</v>
      </c>
      <c r="D46" s="10" t="str">
        <f>IFERROR(__xludf.DUMMYFUNCTION("""COMPUTED_VALUE"""),"us_001")</f>
        <v>us_001</v>
      </c>
      <c r="E46" s="11" t="s">
        <v>196</v>
      </c>
      <c r="F46" s="11" t="str">
        <f>IFERROR(__xludf.DUMMYFUNCTION("LET(
  s, UPPER(TRIM(N46)),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46" s="1" t="s">
        <v>197</v>
      </c>
      <c r="H46" s="12" t="str">
        <f>IFERROR(__xludf.DUMMYFUNCTION("IFS(
  REGEXMATCH(LOWER(TRIM(U46)),""barcelona""), ""acc_139"",
  REGEXMATCH(LOWER(TRIM(U46)),""madrid""), ""acc_148"",
  REGEXMATCH(LOWER(TRIM(U46)),""zaragoza""), ""acc_149"",
  REGEXMATCH(LOWER(TRIM(U46)),""ibiza""), ""acc_140"",
  REGEXMATCH(LOWER(TRI"&amp;"M(U46)),""mallorca""), ""acc_140"",
  REGEXMATCH(LOWER(TRIM(U46)),""menorca""), ""acc_150"",
  TRUE, """"
)
"),"acc_148")</f>
        <v>acc_148</v>
      </c>
      <c r="I46" s="10"/>
      <c r="K46" s="1" t="s">
        <v>197</v>
      </c>
      <c r="L46" s="11" t="str">
        <f>IFERROR(__xludf.DUMMYFUNCTION("LET(
  s, UPPER(TRIM(T46)),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46" s="13"/>
      <c r="N46" s="10" t="str">
        <f t="shared" ref="N46:O46" si="45">V46</f>
        <v>Nico</v>
      </c>
      <c r="O46" s="10" t="str">
        <f t="shared" si="45"/>
        <v/>
      </c>
      <c r="P46" s="10"/>
      <c r="Q46" s="10"/>
      <c r="S46" s="14" t="b">
        <v>0</v>
      </c>
      <c r="T46" s="14" t="s">
        <v>296</v>
      </c>
      <c r="U46" s="14" t="s">
        <v>200</v>
      </c>
      <c r="V46" s="14" t="s">
        <v>206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</row>
    <row r="47">
      <c r="A47" s="1" t="s">
        <v>331</v>
      </c>
      <c r="B47" s="10" t="s">
        <v>332</v>
      </c>
      <c r="C47" s="11" t="str">
        <f>IFERROR(__xludf.DUMMYFUNCTION("IFS(
  REGEXMATCH(LOWER(TRIM(N47)),""nico""), ""us_001"",
  REGEXMATCH(LOWER(TRIM(N47)),""alfonso""), ""us_002"",
  REGEXMATCH(LOWER(TRIM(N47)),""patxi""), ""us_003"",
  REGEXMATCH(LOWER(TRIM(N47)),""martin""), ""us_004"",
  TRUE, ""us_999""
)"),"us_001")</f>
        <v>us_001</v>
      </c>
      <c r="D47" s="10" t="str">
        <f>IFERROR(__xludf.DUMMYFUNCTION("""COMPUTED_VALUE"""),"us_001")</f>
        <v>us_001</v>
      </c>
      <c r="E47" s="11" t="s">
        <v>196</v>
      </c>
      <c r="F47" s="11" t="str">
        <f>IFERROR(__xludf.DUMMYFUNCTION("LET(
  s, UPPER(TRIM(N47)),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47" s="1" t="s">
        <v>197</v>
      </c>
      <c r="H47" s="12" t="str">
        <f>IFERROR(__xludf.DUMMYFUNCTION("IFS(
  REGEXMATCH(LOWER(TRIM(U47)),""barcelona""), ""acc_139"",
  REGEXMATCH(LOWER(TRIM(U47)),""madrid""), ""acc_148"",
  REGEXMATCH(LOWER(TRIM(U47)),""zaragoza""), ""acc_149"",
  REGEXMATCH(LOWER(TRIM(U47)),""ibiza""), ""acc_140"",
  REGEXMATCH(LOWER(TRI"&amp;"M(U47)),""mallorca""), ""acc_140"",
  REGEXMATCH(LOWER(TRIM(U47)),""menorca""), ""acc_150"",
  TRUE, """"
)
"),"acc_148")</f>
        <v>acc_148</v>
      </c>
      <c r="I47" s="10"/>
      <c r="K47" s="1" t="s">
        <v>197</v>
      </c>
      <c r="L47" s="11" t="str">
        <f>IFERROR(__xludf.DUMMYFUNCTION("LET(
  s, UPPER(TRIM(T47)),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47" s="13"/>
      <c r="N47" s="10" t="str">
        <f t="shared" ref="N47:O47" si="46">V47</f>
        <v>Nico</v>
      </c>
      <c r="O47" s="10" t="str">
        <f t="shared" si="46"/>
        <v/>
      </c>
      <c r="P47" s="10"/>
      <c r="Q47" s="10"/>
      <c r="S47" s="14" t="b">
        <v>0</v>
      </c>
      <c r="T47" s="14" t="s">
        <v>296</v>
      </c>
      <c r="U47" s="14" t="s">
        <v>200</v>
      </c>
      <c r="V47" s="14" t="s">
        <v>206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</row>
    <row r="48">
      <c r="A48" s="1" t="s">
        <v>333</v>
      </c>
      <c r="B48" s="10" t="s">
        <v>334</v>
      </c>
      <c r="C48" s="11" t="str">
        <f>IFERROR(__xludf.DUMMYFUNCTION("IFS(
  REGEXMATCH(LOWER(TRIM(N48)),""nico""), ""us_001"",
  REGEXMATCH(LOWER(TRIM(N48)),""alfonso""), ""us_002"",
  REGEXMATCH(LOWER(TRIM(N48)),""patxi""), ""us_003"",
  REGEXMATCH(LOWER(TRIM(N48)),""martin""), ""us_004"",
  TRUE, ""us_999""
)"),"us_001")</f>
        <v>us_001</v>
      </c>
      <c r="D48" s="10" t="str">
        <f>IFERROR(__xludf.DUMMYFUNCTION("""COMPUTED_VALUE"""),"us_001")</f>
        <v>us_001</v>
      </c>
      <c r="E48" s="11" t="s">
        <v>196</v>
      </c>
      <c r="F48" s="11" t="str">
        <f>IFERROR(__xludf.DUMMYFUNCTION("LET(
  s, UPPER(TRIM(N48)),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48" s="1" t="s">
        <v>197</v>
      </c>
      <c r="H48" s="12" t="str">
        <f>IFERROR(__xludf.DUMMYFUNCTION("IFS(
  REGEXMATCH(LOWER(TRIM(U48)),""barcelona""), ""acc_139"",
  REGEXMATCH(LOWER(TRIM(U48)),""madrid""), ""acc_148"",
  REGEXMATCH(LOWER(TRIM(U48)),""zaragoza""), ""acc_149"",
  REGEXMATCH(LOWER(TRIM(U48)),""ibiza""), ""acc_140"",
  REGEXMATCH(LOWER(TRI"&amp;"M(U48)),""mallorca""), ""acc_140"",
  REGEXMATCH(LOWER(TRIM(U48)),""menorca""), ""acc_150"",
  TRUE, """"
)
"),"acc_148")</f>
        <v>acc_148</v>
      </c>
      <c r="I48" s="10" t="s">
        <v>335</v>
      </c>
      <c r="K48" s="1" t="s">
        <v>197</v>
      </c>
      <c r="L48" s="11" t="str">
        <f>IFERROR(__xludf.DUMMYFUNCTION("LET(
  s, UPPER(TRIM(T48)),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48" s="13"/>
      <c r="N48" s="10" t="str">
        <f t="shared" ref="N48:O48" si="47">V48</f>
        <v>Nico</v>
      </c>
      <c r="O48" s="10" t="str">
        <f t="shared" si="47"/>
        <v/>
      </c>
      <c r="P48" s="10"/>
      <c r="Q48" s="10"/>
      <c r="S48" s="14" t="b">
        <v>0</v>
      </c>
      <c r="T48" s="14" t="s">
        <v>296</v>
      </c>
      <c r="U48" s="14" t="s">
        <v>200</v>
      </c>
      <c r="V48" s="14" t="s">
        <v>206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</row>
    <row r="49">
      <c r="A49" s="1" t="s">
        <v>336</v>
      </c>
      <c r="B49" s="10" t="s">
        <v>337</v>
      </c>
      <c r="C49" s="11" t="str">
        <f>IFERROR(__xludf.DUMMYFUNCTION("IFS(
  REGEXMATCH(LOWER(TRIM(N49)),""nico""), ""us_001"",
  REGEXMATCH(LOWER(TRIM(N49)),""alfonso""), ""us_002"",
  REGEXMATCH(LOWER(TRIM(N49)),""patxi""), ""us_003"",
  REGEXMATCH(LOWER(TRIM(N49)),""martin""), ""us_004"",
  TRUE, ""us_999""
)"),"us_001")</f>
        <v>us_001</v>
      </c>
      <c r="D49" s="10" t="str">
        <f>IFERROR(__xludf.DUMMYFUNCTION("""COMPUTED_VALUE"""),"us_001")</f>
        <v>us_001</v>
      </c>
      <c r="E49" s="11" t="s">
        <v>196</v>
      </c>
      <c r="F49" s="11" t="str">
        <f>IFERROR(__xludf.DUMMYFUNCTION("LET(
  s, UPPER(TRIM(N49)),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49" s="1" t="s">
        <v>197</v>
      </c>
      <c r="H49" s="12" t="str">
        <f>IFERROR(__xludf.DUMMYFUNCTION("IFS(
  REGEXMATCH(LOWER(TRIM(U49)),""barcelona""), ""acc_139"",
  REGEXMATCH(LOWER(TRIM(U49)),""madrid""), ""acc_148"",
  REGEXMATCH(LOWER(TRIM(U49)),""zaragoza""), ""acc_149"",
  REGEXMATCH(LOWER(TRIM(U49)),""ibiza""), ""acc_140"",
  REGEXMATCH(LOWER(TRI"&amp;"M(U49)),""mallorca""), ""acc_140"",
  REGEXMATCH(LOWER(TRIM(U49)),""menorca""), ""acc_150"",
  TRUE, """"
)
"),"acc_148")</f>
        <v>acc_148</v>
      </c>
      <c r="I49" s="10"/>
      <c r="K49" s="1" t="s">
        <v>197</v>
      </c>
      <c r="L49" s="11" t="str">
        <f>IFERROR(__xludf.DUMMYFUNCTION("LET(
  s, UPPER(TRIM(T49)),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49" s="13"/>
      <c r="N49" s="10" t="str">
        <f t="shared" ref="N49:O49" si="48">V49</f>
        <v>Nico</v>
      </c>
      <c r="O49" s="10" t="str">
        <f t="shared" si="48"/>
        <v/>
      </c>
      <c r="P49" s="10"/>
      <c r="Q49" s="10"/>
      <c r="S49" s="14" t="b">
        <v>0</v>
      </c>
      <c r="T49" s="14" t="s">
        <v>296</v>
      </c>
      <c r="U49" s="14" t="s">
        <v>200</v>
      </c>
      <c r="V49" s="14" t="s">
        <v>206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</row>
    <row r="50">
      <c r="A50" s="1" t="s">
        <v>338</v>
      </c>
      <c r="B50" s="10" t="s">
        <v>162</v>
      </c>
      <c r="C50" s="11" t="str">
        <f>IFERROR(__xludf.DUMMYFUNCTION("IFS(
  REGEXMATCH(LOWER(TRIM(N50)),""nico""), ""us_001"",
  REGEXMATCH(LOWER(TRIM(N50)),""alfonso""), ""us_002"",
  REGEXMATCH(LOWER(TRIM(N50)),""patxi""), ""us_003"",
  REGEXMATCH(LOWER(TRIM(N50)),""martin""), ""us_004"",
  TRUE, ""us_999""
)"),"us_002")</f>
        <v>us_002</v>
      </c>
      <c r="D50" s="10" t="str">
        <f>IFERROR(__xludf.DUMMYFUNCTION("""COMPUTED_VALUE"""),"us_002")</f>
        <v>us_002</v>
      </c>
      <c r="E50" s="11" t="s">
        <v>196</v>
      </c>
      <c r="F50" s="11" t="str">
        <f>IFERROR(__xludf.DUMMYFUNCTION("LET(
  s, UPPER(TRIM(N50)),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50" s="1" t="s">
        <v>197</v>
      </c>
      <c r="H50" s="12" t="str">
        <f>IFERROR(__xludf.DUMMYFUNCTION("IFS(
  REGEXMATCH(LOWER(TRIM(U50)),""barcelona""), ""acc_139"",
  REGEXMATCH(LOWER(TRIM(U50)),""madrid""), ""acc_148"",
  REGEXMATCH(LOWER(TRIM(U50)),""zaragoza""), ""acc_149"",
  REGEXMATCH(LOWER(TRIM(U50)),""ibiza""), ""acc_140"",
  REGEXMATCH(LOWER(TRI"&amp;"M(U50)),""mallorca""), ""acc_140"",
  REGEXMATCH(LOWER(TRIM(U50)),""menorca""), ""acc_150"",
  TRUE, """"
)
"),"acc_148")</f>
        <v>acc_148</v>
      </c>
      <c r="I50" s="10" t="s">
        <v>339</v>
      </c>
      <c r="K50" s="1" t="s">
        <v>197</v>
      </c>
      <c r="L50" s="11" t="str">
        <f>IFERROR(__xludf.DUMMYFUNCTION("LET(
  s, UPPER(TRIM(T50)),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50" s="13"/>
      <c r="N50" s="10" t="str">
        <f t="shared" ref="N50:O50" si="49">V50</f>
        <v>Alfonso </v>
      </c>
      <c r="O50" s="10" t="str">
        <f t="shared" si="49"/>
        <v>1 caja</v>
      </c>
      <c r="P50" s="10"/>
      <c r="Q50" s="10"/>
      <c r="S50" s="14" t="b">
        <v>0</v>
      </c>
      <c r="T50" s="14" t="s">
        <v>199</v>
      </c>
      <c r="U50" s="14" t="s">
        <v>200</v>
      </c>
      <c r="V50" s="14" t="s">
        <v>201</v>
      </c>
      <c r="W50" s="10" t="s">
        <v>287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</row>
    <row r="51">
      <c r="A51" s="1" t="s">
        <v>340</v>
      </c>
      <c r="B51" s="10" t="s">
        <v>341</v>
      </c>
      <c r="C51" s="11" t="str">
        <f>IFERROR(__xludf.DUMMYFUNCTION("IFS(
  REGEXMATCH(LOWER(TRIM(N51)),""nico""), ""us_001"",
  REGEXMATCH(LOWER(TRIM(N51)),""alfonso""), ""us_002"",
  REGEXMATCH(LOWER(TRIM(N51)),""patxi""), ""us_003"",
  REGEXMATCH(LOWER(TRIM(N51)),""martin""), ""us_004"",
  TRUE, ""us_999""
)"),"us_001")</f>
        <v>us_001</v>
      </c>
      <c r="D51" s="10" t="str">
        <f>IFERROR(__xludf.DUMMYFUNCTION("""COMPUTED_VALUE"""),"us_001")</f>
        <v>us_001</v>
      </c>
      <c r="E51" s="11" t="s">
        <v>196</v>
      </c>
      <c r="F51" s="11" t="str">
        <f>IFERROR(__xludf.DUMMYFUNCTION("LET(
  s, UPPER(TRIM(N51)),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51" s="1" t="s">
        <v>197</v>
      </c>
      <c r="H51" s="12" t="str">
        <f>IFERROR(__xludf.DUMMYFUNCTION("IFS(
  REGEXMATCH(LOWER(TRIM(U51)),""barcelona""), ""acc_139"",
  REGEXMATCH(LOWER(TRIM(U51)),""madrid""), ""acc_148"",
  REGEXMATCH(LOWER(TRIM(U51)),""zaragoza""), ""acc_149"",
  REGEXMATCH(LOWER(TRIM(U51)),""ibiza""), ""acc_140"",
  REGEXMATCH(LOWER(TRI"&amp;"M(U51)),""mallorca""), ""acc_140"",
  REGEXMATCH(LOWER(TRIM(U51)),""menorca""), ""acc_150"",
  TRUE, """"
)
"),"acc_148")</f>
        <v>acc_148</v>
      </c>
      <c r="I51" s="10"/>
      <c r="K51" s="1" t="s">
        <v>197</v>
      </c>
      <c r="L51" s="11" t="str">
        <f>IFERROR(__xludf.DUMMYFUNCTION("LET(
  s, UPPER(TRIM(T51)),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51" s="13"/>
      <c r="N51" s="10" t="str">
        <f t="shared" ref="N51:O51" si="50">V51</f>
        <v>Nico</v>
      </c>
      <c r="O51" s="10" t="str">
        <f t="shared" si="50"/>
        <v/>
      </c>
      <c r="P51" s="10"/>
      <c r="Q51" s="10"/>
      <c r="S51" s="14" t="b">
        <v>0</v>
      </c>
      <c r="T51" s="14" t="s">
        <v>296</v>
      </c>
      <c r="U51" s="14" t="s">
        <v>200</v>
      </c>
      <c r="V51" s="14" t="s">
        <v>206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</row>
    <row r="52">
      <c r="A52" s="1" t="s">
        <v>342</v>
      </c>
      <c r="B52" s="10" t="s">
        <v>343</v>
      </c>
      <c r="C52" s="11" t="str">
        <f>IFERROR(__xludf.DUMMYFUNCTION("IFS(
  REGEXMATCH(LOWER(TRIM(N52)),""nico""), ""us_001"",
  REGEXMATCH(LOWER(TRIM(N52)),""alfonso""), ""us_002"",
  REGEXMATCH(LOWER(TRIM(N52)),""patxi""), ""us_003"",
  REGEXMATCH(LOWER(TRIM(N52)),""martin""), ""us_004"",
  TRUE, ""us_999""
)"),"us_003")</f>
        <v>us_003</v>
      </c>
      <c r="D52" s="10" t="str">
        <f>IFERROR(__xludf.DUMMYFUNCTION("""COMPUTED_VALUE"""),"us_003")</f>
        <v>us_003</v>
      </c>
      <c r="E52" s="11" t="s">
        <v>196</v>
      </c>
      <c r="F52" s="11" t="str">
        <f>IFERROR(__xludf.DUMMYFUNCTION("LET(
  s, UPPER(TRIM(N52)),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52" s="1" t="s">
        <v>197</v>
      </c>
      <c r="H52" s="12" t="str">
        <f>IFERROR(__xludf.DUMMYFUNCTION("IFS(
  REGEXMATCH(LOWER(TRIM(U52)),""barcelona""), ""acc_139"",
  REGEXMATCH(LOWER(TRIM(U52)),""madrid""), ""acc_148"",
  REGEXMATCH(LOWER(TRIM(U52)),""zaragoza""), ""acc_149"",
  REGEXMATCH(LOWER(TRIM(U52)),""ibiza""), ""acc_140"",
  REGEXMATCH(LOWER(TRI"&amp;"M(U52)),""mallorca""), ""acc_140"",
  REGEXMATCH(LOWER(TRIM(U52)),""menorca""), ""acc_150"",
  TRUE, """"
)
"),"acc_139")</f>
        <v>acc_139</v>
      </c>
      <c r="I52" s="10" t="s">
        <v>344</v>
      </c>
      <c r="K52" s="1" t="s">
        <v>197</v>
      </c>
      <c r="L52" s="11" t="str">
        <f>IFERROR(__xludf.DUMMYFUNCTION("LET(
  s, UPPER(TRIM(T52)),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52" s="13"/>
      <c r="N52" s="10" t="str">
        <f t="shared" ref="N52:O52" si="51">V52</f>
        <v>Patxi </v>
      </c>
      <c r="O52" s="10" t="str">
        <f t="shared" si="51"/>
        <v/>
      </c>
      <c r="P52" s="10"/>
      <c r="Q52" s="10"/>
      <c r="S52" s="16"/>
      <c r="T52" s="14" t="s">
        <v>296</v>
      </c>
      <c r="U52" s="14" t="s">
        <v>345</v>
      </c>
      <c r="V52" s="14" t="s">
        <v>222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</row>
    <row r="53">
      <c r="A53" s="1" t="s">
        <v>346</v>
      </c>
      <c r="B53" s="10" t="s">
        <v>347</v>
      </c>
      <c r="C53" s="11" t="str">
        <f>IFERROR(__xludf.DUMMYFUNCTION("IFS(
  REGEXMATCH(LOWER(TRIM(N53)),""nico""), ""us_001"",
  REGEXMATCH(LOWER(TRIM(N53)),""alfonso""), ""us_002"",
  REGEXMATCH(LOWER(TRIM(N53)),""patxi""), ""us_003"",
  REGEXMATCH(LOWER(TRIM(N53)),""martin""), ""us_004"",
  TRUE, ""us_999""
)"),"us_002")</f>
        <v>us_002</v>
      </c>
      <c r="D53" s="10" t="str">
        <f>IFERROR(__xludf.DUMMYFUNCTION("""COMPUTED_VALUE"""),"us_002")</f>
        <v>us_002</v>
      </c>
      <c r="E53" s="11" t="s">
        <v>196</v>
      </c>
      <c r="F53" s="11" t="str">
        <f>IFERROR(__xludf.DUMMYFUNCTION("LET(
  s, UPPER(TRIM(N53)),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53" s="1" t="s">
        <v>197</v>
      </c>
      <c r="H53" s="12" t="str">
        <f>IFERROR(__xludf.DUMMYFUNCTION("IFS(
  REGEXMATCH(LOWER(TRIM(U53)),""barcelona""), ""acc_139"",
  REGEXMATCH(LOWER(TRIM(U53)),""madrid""), ""acc_148"",
  REGEXMATCH(LOWER(TRIM(U53)),""zaragoza""), ""acc_149"",
  REGEXMATCH(LOWER(TRIM(U53)),""ibiza""), ""acc_140"",
  REGEXMATCH(LOWER(TRI"&amp;"M(U53)),""mallorca""), ""acc_140"",
  REGEXMATCH(LOWER(TRIM(U53)),""menorca""), ""acc_150"",
  TRUE, """"
)
"),"acc_148")</f>
        <v>acc_148</v>
      </c>
      <c r="I53" s="10"/>
      <c r="K53" s="1" t="s">
        <v>197</v>
      </c>
      <c r="L53" s="11" t="str">
        <f>IFERROR(__xludf.DUMMYFUNCTION("LET(
  s, UPPER(TRIM(T53)),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53" s="13"/>
      <c r="N53" s="10" t="str">
        <f t="shared" ref="N53:O53" si="52">V53</f>
        <v>Alfonso </v>
      </c>
      <c r="O53" s="10" t="str">
        <f t="shared" si="52"/>
        <v/>
      </c>
      <c r="P53" s="10"/>
      <c r="Q53" s="10"/>
      <c r="S53" s="14" t="b">
        <v>0</v>
      </c>
      <c r="T53" s="14" t="s">
        <v>348</v>
      </c>
      <c r="U53" s="14" t="s">
        <v>200</v>
      </c>
      <c r="V53" s="14" t="s">
        <v>201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</row>
    <row r="54">
      <c r="A54" s="1" t="s">
        <v>349</v>
      </c>
      <c r="B54" s="10" t="s">
        <v>350</v>
      </c>
      <c r="C54" s="11" t="str">
        <f>IFERROR(__xludf.DUMMYFUNCTION("IFS(
  REGEXMATCH(LOWER(TRIM(N54)),""nico""), ""us_001"",
  REGEXMATCH(LOWER(TRIM(N54)),""alfonso""), ""us_002"",
  REGEXMATCH(LOWER(TRIM(N54)),""patxi""), ""us_003"",
  REGEXMATCH(LOWER(TRIM(N54)),""martin""), ""us_004"",
  TRUE, ""us_999""
)"),"us_002")</f>
        <v>us_002</v>
      </c>
      <c r="D54" s="10" t="str">
        <f>IFERROR(__xludf.DUMMYFUNCTION("""COMPUTED_VALUE"""),"us_002")</f>
        <v>us_002</v>
      </c>
      <c r="E54" s="11" t="s">
        <v>196</v>
      </c>
      <c r="F54" s="11" t="str">
        <f>IFERROR(__xludf.DUMMYFUNCTION("LET(
  s, UPPER(TRIM(N54)),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54" s="1" t="s">
        <v>197</v>
      </c>
      <c r="H54" s="12" t="str">
        <f>IFERROR(__xludf.DUMMYFUNCTION("IFS(
  REGEXMATCH(LOWER(TRIM(U54)),""barcelona""), ""acc_139"",
  REGEXMATCH(LOWER(TRIM(U54)),""madrid""), ""acc_148"",
  REGEXMATCH(LOWER(TRIM(U54)),""zaragoza""), ""acc_149"",
  REGEXMATCH(LOWER(TRIM(U54)),""ibiza""), ""acc_140"",
  REGEXMATCH(LOWER(TRI"&amp;"M(U54)),""mallorca""), ""acc_140"",
  REGEXMATCH(LOWER(TRIM(U54)),""menorca""), ""acc_150"",
  TRUE, """"
)
"),"acc_148")</f>
        <v>acc_148</v>
      </c>
      <c r="I54" s="10"/>
      <c r="K54" s="1" t="s">
        <v>197</v>
      </c>
      <c r="L54" s="11" t="str">
        <f>IFERROR(__xludf.DUMMYFUNCTION("LET(
  s, UPPER(TRIM(T54)),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54" s="13"/>
      <c r="N54" s="10" t="str">
        <f t="shared" ref="N54:O54" si="53">V54</f>
        <v>Alfonso </v>
      </c>
      <c r="O54" s="10" t="str">
        <f t="shared" si="53"/>
        <v/>
      </c>
      <c r="P54" s="10"/>
      <c r="Q54" s="10"/>
      <c r="S54" s="16"/>
      <c r="T54" s="14" t="s">
        <v>348</v>
      </c>
      <c r="U54" s="14" t="s">
        <v>311</v>
      </c>
      <c r="V54" s="14" t="s">
        <v>201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</row>
    <row r="55">
      <c r="A55" s="1" t="s">
        <v>351</v>
      </c>
      <c r="B55" s="10" t="s">
        <v>352</v>
      </c>
      <c r="C55" s="11" t="str">
        <f>IFERROR(__xludf.DUMMYFUNCTION("IFS(
  REGEXMATCH(LOWER(TRIM(N55)),""nico""), ""us_001"",
  REGEXMATCH(LOWER(TRIM(N55)),""alfonso""), ""us_002"",
  REGEXMATCH(LOWER(TRIM(N55)),""patxi""), ""us_003"",
  REGEXMATCH(LOWER(TRIM(N55)),""martin""), ""us_004"",
  TRUE, ""us_999""
)"),"us_002")</f>
        <v>us_002</v>
      </c>
      <c r="D55" s="10" t="str">
        <f>IFERROR(__xludf.DUMMYFUNCTION("""COMPUTED_VALUE"""),"us_002")</f>
        <v>us_002</v>
      </c>
      <c r="E55" s="11" t="s">
        <v>196</v>
      </c>
      <c r="F55" s="11" t="str">
        <f>IFERROR(__xludf.DUMMYFUNCTION("LET(
  s, UPPER(TRIM(N55)),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55" s="1" t="s">
        <v>197</v>
      </c>
      <c r="H55" s="12" t="str">
        <f>IFERROR(__xludf.DUMMYFUNCTION("IFS(
  REGEXMATCH(LOWER(TRIM(U55)),""barcelona""), ""acc_139"",
  REGEXMATCH(LOWER(TRIM(U55)),""madrid""), ""acc_148"",
  REGEXMATCH(LOWER(TRIM(U55)),""zaragoza""), ""acc_149"",
  REGEXMATCH(LOWER(TRIM(U55)),""ibiza""), ""acc_140"",
  REGEXMATCH(LOWER(TRI"&amp;"M(U55)),""mallorca""), ""acc_140"",
  REGEXMATCH(LOWER(TRIM(U55)),""menorca""), ""acc_150"",
  TRUE, """"
)
"),"acc_148")</f>
        <v>acc_148</v>
      </c>
      <c r="I55" s="10"/>
      <c r="K55" s="1" t="s">
        <v>197</v>
      </c>
      <c r="L55" s="11" t="str">
        <f>IFERROR(__xludf.DUMMYFUNCTION("LET(
  s, UPPER(TRIM(T55)),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55" s="13"/>
      <c r="N55" s="10" t="str">
        <f t="shared" ref="N55:O55" si="54">V55</f>
        <v>Alfonso </v>
      </c>
      <c r="O55" s="10" t="str">
        <f t="shared" si="54"/>
        <v/>
      </c>
      <c r="P55" s="10"/>
      <c r="Q55" s="10"/>
      <c r="S55" s="14" t="b">
        <v>0</v>
      </c>
      <c r="T55" s="14" t="s">
        <v>348</v>
      </c>
      <c r="U55" s="14" t="s">
        <v>200</v>
      </c>
      <c r="V55" s="14" t="s">
        <v>201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</row>
    <row r="56">
      <c r="A56" s="1" t="s">
        <v>353</v>
      </c>
      <c r="B56" s="10" t="s">
        <v>354</v>
      </c>
      <c r="C56" s="11" t="str">
        <f>IFERROR(__xludf.DUMMYFUNCTION("IFS(
  REGEXMATCH(LOWER(TRIM(N56)),""nico""), ""us_001"",
  REGEXMATCH(LOWER(TRIM(N56)),""alfonso""), ""us_002"",
  REGEXMATCH(LOWER(TRIM(N56)),""patxi""), ""us_003"",
  REGEXMATCH(LOWER(TRIM(N56)),""martin""), ""us_004"",
  TRUE, ""us_999""
)"),"us_002")</f>
        <v>us_002</v>
      </c>
      <c r="D56" s="10" t="str">
        <f>IFERROR(__xludf.DUMMYFUNCTION("""COMPUTED_VALUE"""),"us_002")</f>
        <v>us_002</v>
      </c>
      <c r="E56" s="11" t="s">
        <v>196</v>
      </c>
      <c r="F56" s="11" t="str">
        <f>IFERROR(__xludf.DUMMYFUNCTION("LET(
  s, UPPER(TRIM(N56)),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56" s="1" t="s">
        <v>197</v>
      </c>
      <c r="H56" s="12" t="str">
        <f>IFERROR(__xludf.DUMMYFUNCTION("IFS(
  REGEXMATCH(LOWER(TRIM(U56)),""barcelona""), ""acc_139"",
  REGEXMATCH(LOWER(TRIM(U56)),""madrid""), ""acc_148"",
  REGEXMATCH(LOWER(TRIM(U56)),""zaragoza""), ""acc_149"",
  REGEXMATCH(LOWER(TRIM(U56)),""ibiza""), ""acc_140"",
  REGEXMATCH(LOWER(TRI"&amp;"M(U56)),""mallorca""), ""acc_140"",
  REGEXMATCH(LOWER(TRIM(U56)),""menorca""), ""acc_150"",
  TRUE, """"
)
"),"acc_148")</f>
        <v>acc_148</v>
      </c>
      <c r="I56" s="10"/>
      <c r="K56" s="1" t="s">
        <v>197</v>
      </c>
      <c r="L56" s="11" t="str">
        <f>IFERROR(__xludf.DUMMYFUNCTION("LET(
  s, UPPER(TRIM(T56)),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56" s="13"/>
      <c r="N56" s="10" t="str">
        <f t="shared" ref="N56:O56" si="55">V56</f>
        <v>Alfonso </v>
      </c>
      <c r="O56" s="10" t="str">
        <f t="shared" si="55"/>
        <v/>
      </c>
      <c r="P56" s="10"/>
      <c r="Q56" s="10"/>
      <c r="S56" s="14" t="b">
        <v>0</v>
      </c>
      <c r="T56" s="14" t="s">
        <v>348</v>
      </c>
      <c r="U56" s="14" t="s">
        <v>200</v>
      </c>
      <c r="V56" s="14" t="s">
        <v>201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</row>
    <row r="57">
      <c r="A57" s="1" t="s">
        <v>355</v>
      </c>
      <c r="B57" s="10" t="s">
        <v>356</v>
      </c>
      <c r="C57" s="11" t="str">
        <f>IFERROR(__xludf.DUMMYFUNCTION("IFS(
  REGEXMATCH(LOWER(TRIM(N57)),""nico""), ""us_001"",
  REGEXMATCH(LOWER(TRIM(N57)),""alfonso""), ""us_002"",
  REGEXMATCH(LOWER(TRIM(N57)),""patxi""), ""us_003"",
  REGEXMATCH(LOWER(TRIM(N57)),""martin""), ""us_004"",
  TRUE, ""us_999""
)"),"us_002")</f>
        <v>us_002</v>
      </c>
      <c r="D57" s="10" t="str">
        <f>IFERROR(__xludf.DUMMYFUNCTION("""COMPUTED_VALUE"""),"us_002")</f>
        <v>us_002</v>
      </c>
      <c r="E57" s="11" t="s">
        <v>196</v>
      </c>
      <c r="F57" s="11" t="str">
        <f>IFERROR(__xludf.DUMMYFUNCTION("LET(
  s, UPPER(TRIM(N57)),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57" s="1" t="s">
        <v>197</v>
      </c>
      <c r="H57" s="12" t="str">
        <f>IFERROR(__xludf.DUMMYFUNCTION("IFS(
  REGEXMATCH(LOWER(TRIM(U57)),""barcelona""), ""acc_139"",
  REGEXMATCH(LOWER(TRIM(U57)),""madrid""), ""acc_148"",
  REGEXMATCH(LOWER(TRIM(U57)),""zaragoza""), ""acc_149"",
  REGEXMATCH(LOWER(TRIM(U57)),""ibiza""), ""acc_140"",
  REGEXMATCH(LOWER(TRI"&amp;"M(U57)),""mallorca""), ""acc_140"",
  REGEXMATCH(LOWER(TRIM(U57)),""menorca""), ""acc_150"",
  TRUE, """"
)
"),"acc_148")</f>
        <v>acc_148</v>
      </c>
      <c r="I57" s="10"/>
      <c r="K57" s="1" t="s">
        <v>197</v>
      </c>
      <c r="L57" s="11" t="str">
        <f>IFERROR(__xludf.DUMMYFUNCTION("LET(
  s, UPPER(TRIM(T57)),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57" s="13"/>
      <c r="N57" s="10" t="str">
        <f t="shared" ref="N57:O57" si="56">V57</f>
        <v>Alfonso </v>
      </c>
      <c r="O57" s="10" t="str">
        <f t="shared" si="56"/>
        <v/>
      </c>
      <c r="P57" s="10"/>
      <c r="Q57" s="10"/>
      <c r="S57" s="14" t="b">
        <v>0</v>
      </c>
      <c r="T57" s="14" t="s">
        <v>348</v>
      </c>
      <c r="U57" s="14" t="s">
        <v>200</v>
      </c>
      <c r="V57" s="14" t="s">
        <v>201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>
      <c r="A58" s="1" t="s">
        <v>357</v>
      </c>
      <c r="B58" s="10" t="s">
        <v>158</v>
      </c>
      <c r="C58" s="11" t="str">
        <f>IFERROR(__xludf.DUMMYFUNCTION("IFS(
  REGEXMATCH(LOWER(TRIM(N58)),""nico""), ""us_001"",
  REGEXMATCH(LOWER(TRIM(N58)),""alfonso""), ""us_002"",
  REGEXMATCH(LOWER(TRIM(N58)),""patxi""), ""us_003"",
  REGEXMATCH(LOWER(TRIM(N58)),""martin""), ""us_004"",
  TRUE, ""us_999""
)"),"us_002")</f>
        <v>us_002</v>
      </c>
      <c r="D58" s="10" t="str">
        <f>IFERROR(__xludf.DUMMYFUNCTION("""COMPUTED_VALUE"""),"us_002")</f>
        <v>us_002</v>
      </c>
      <c r="E58" s="11" t="s">
        <v>196</v>
      </c>
      <c r="F58" s="11" t="str">
        <f>IFERROR(__xludf.DUMMYFUNCTION("LET(
  s, UPPER(TRIM(N58)),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58" s="1" t="s">
        <v>197</v>
      </c>
      <c r="H58" s="12" t="str">
        <f>IFERROR(__xludf.DUMMYFUNCTION("IFS(
  REGEXMATCH(LOWER(TRIM(U58)),""barcelona""), ""acc_139"",
  REGEXMATCH(LOWER(TRIM(U58)),""madrid""), ""acc_148"",
  REGEXMATCH(LOWER(TRIM(U58)),""zaragoza""), ""acc_149"",
  REGEXMATCH(LOWER(TRIM(U58)),""ibiza""), ""acc_140"",
  REGEXMATCH(LOWER(TRI"&amp;"M(U58)),""mallorca""), ""acc_140"",
  REGEXMATCH(LOWER(TRIM(U58)),""menorca""), ""acc_150"",
  TRUE, """"
)
"),"")</f>
        <v/>
      </c>
      <c r="I58" s="10" t="s">
        <v>358</v>
      </c>
      <c r="K58" s="1" t="s">
        <v>197</v>
      </c>
      <c r="L58" s="11" t="str">
        <f>IFERROR(__xludf.DUMMYFUNCTION("LET(
  s, UPPER(TRIM(T58)),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58" s="13"/>
      <c r="N58" s="10" t="str">
        <f t="shared" ref="N58:O58" si="57">V58</f>
        <v>Alfonso </v>
      </c>
      <c r="O58" s="10" t="str">
        <f t="shared" si="57"/>
        <v>4 cajas</v>
      </c>
      <c r="P58" s="10"/>
      <c r="Q58" s="10"/>
      <c r="S58" s="14" t="b">
        <v>0</v>
      </c>
      <c r="T58" s="14" t="s">
        <v>199</v>
      </c>
      <c r="U58" s="14" t="s">
        <v>359</v>
      </c>
      <c r="V58" s="14" t="s">
        <v>201</v>
      </c>
      <c r="W58" s="10" t="s">
        <v>275</v>
      </c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</row>
    <row r="59">
      <c r="A59" s="1" t="s">
        <v>360</v>
      </c>
      <c r="B59" s="10" t="s">
        <v>361</v>
      </c>
      <c r="C59" s="11" t="str">
        <f>IFERROR(__xludf.DUMMYFUNCTION("IFS(
  REGEXMATCH(LOWER(TRIM(N59)),""nico""), ""us_001"",
  REGEXMATCH(LOWER(TRIM(N59)),""alfonso""), ""us_002"",
  REGEXMATCH(LOWER(TRIM(N59)),""patxi""), ""us_003"",
  REGEXMATCH(LOWER(TRIM(N59)),""martin""), ""us_004"",
  TRUE, ""us_999""
)"),"us_002")</f>
        <v>us_002</v>
      </c>
      <c r="D59" s="10" t="str">
        <f>IFERROR(__xludf.DUMMYFUNCTION("""COMPUTED_VALUE"""),"us_002")</f>
        <v>us_002</v>
      </c>
      <c r="E59" s="11" t="s">
        <v>196</v>
      </c>
      <c r="F59" s="11" t="str">
        <f>IFERROR(__xludf.DUMMYFUNCTION("LET(
  s, UPPER(TRIM(N59)),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59" s="1" t="s">
        <v>197</v>
      </c>
      <c r="H59" s="12" t="str">
        <f>IFERROR(__xludf.DUMMYFUNCTION("IFS(
  REGEXMATCH(LOWER(TRIM(U59)),""barcelona""), ""acc_139"",
  REGEXMATCH(LOWER(TRIM(U59)),""madrid""), ""acc_148"",
  REGEXMATCH(LOWER(TRIM(U59)),""zaragoza""), ""acc_149"",
  REGEXMATCH(LOWER(TRIM(U59)),""ibiza""), ""acc_140"",
  REGEXMATCH(LOWER(TRI"&amp;"M(U59)),""mallorca""), ""acc_140"",
  REGEXMATCH(LOWER(TRIM(U59)),""menorca""), ""acc_150"",
  TRUE, """"
)
"),"acc_148")</f>
        <v>acc_148</v>
      </c>
      <c r="I59" s="10"/>
      <c r="K59" s="1" t="s">
        <v>197</v>
      </c>
      <c r="L59" s="11" t="str">
        <f>IFERROR(__xludf.DUMMYFUNCTION("LET(
  s, UPPER(TRIM(T59)),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59" s="13"/>
      <c r="N59" s="10" t="str">
        <f t="shared" ref="N59:O59" si="58">V59</f>
        <v>Alfonso </v>
      </c>
      <c r="O59" s="10" t="str">
        <f t="shared" si="58"/>
        <v/>
      </c>
      <c r="P59" s="10"/>
      <c r="Q59" s="10"/>
      <c r="S59" s="14" t="b">
        <v>0</v>
      </c>
      <c r="T59" s="14" t="s">
        <v>348</v>
      </c>
      <c r="U59" s="14" t="s">
        <v>200</v>
      </c>
      <c r="V59" s="14" t="s">
        <v>201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>
      <c r="A60" s="1" t="s">
        <v>362</v>
      </c>
      <c r="B60" s="10" t="s">
        <v>363</v>
      </c>
      <c r="C60" s="11" t="str">
        <f>IFERROR(__xludf.DUMMYFUNCTION("IFS(
  REGEXMATCH(LOWER(TRIM(N60)),""nico""), ""us_001"",
  REGEXMATCH(LOWER(TRIM(N60)),""alfonso""), ""us_002"",
  REGEXMATCH(LOWER(TRIM(N60)),""patxi""), ""us_003"",
  REGEXMATCH(LOWER(TRIM(N60)),""martin""), ""us_004"",
  TRUE, ""us_999""
)"),"us_001")</f>
        <v>us_001</v>
      </c>
      <c r="D60" s="10" t="str">
        <f>IFERROR(__xludf.DUMMYFUNCTION("""COMPUTED_VALUE"""),"us_001")</f>
        <v>us_001</v>
      </c>
      <c r="E60" s="11" t="s">
        <v>196</v>
      </c>
      <c r="F60" s="11" t="str">
        <f>IFERROR(__xludf.DUMMYFUNCTION("LET(
  s, UPPER(TRIM(N60)),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60" s="1" t="s">
        <v>197</v>
      </c>
      <c r="H60" s="12" t="str">
        <f>IFERROR(__xludf.DUMMYFUNCTION("IFS(
  REGEXMATCH(LOWER(TRIM(U60)),""barcelona""), ""acc_139"",
  REGEXMATCH(LOWER(TRIM(U60)),""madrid""), ""acc_148"",
  REGEXMATCH(LOWER(TRIM(U60)),""zaragoza""), ""acc_149"",
  REGEXMATCH(LOWER(TRIM(U60)),""ibiza""), ""acc_140"",
  REGEXMATCH(LOWER(TRI"&amp;"M(U60)),""mallorca""), ""acc_140"",
  REGEXMATCH(LOWER(TRIM(U60)),""menorca""), ""acc_150"",
  TRUE, """"
)
"),"acc_148")</f>
        <v>acc_148</v>
      </c>
      <c r="I60" s="10"/>
      <c r="K60" s="1" t="s">
        <v>197</v>
      </c>
      <c r="L60" s="11" t="str">
        <f>IFERROR(__xludf.DUMMYFUNCTION("LET(
  s, UPPER(TRIM(T60)),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60" s="13"/>
      <c r="N60" s="10" t="str">
        <f t="shared" ref="N60:O60" si="59">V60</f>
        <v>Nico</v>
      </c>
      <c r="O60" s="10" t="str">
        <f t="shared" si="59"/>
        <v/>
      </c>
      <c r="P60" s="10"/>
      <c r="Q60" s="10"/>
      <c r="S60" s="14" t="b">
        <v>0</v>
      </c>
      <c r="T60" s="14" t="s">
        <v>348</v>
      </c>
      <c r="U60" s="14" t="s">
        <v>200</v>
      </c>
      <c r="V60" s="14" t="s">
        <v>206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</row>
    <row r="61">
      <c r="A61" s="1" t="s">
        <v>364</v>
      </c>
      <c r="B61" s="10" t="s">
        <v>365</v>
      </c>
      <c r="C61" s="11" t="str">
        <f>IFERROR(__xludf.DUMMYFUNCTION("IFS(
  REGEXMATCH(LOWER(TRIM(N61)),""nico""), ""us_001"",
  REGEXMATCH(LOWER(TRIM(N61)),""alfonso""), ""us_002"",
  REGEXMATCH(LOWER(TRIM(N61)),""patxi""), ""us_003"",
  REGEXMATCH(LOWER(TRIM(N61)),""martin""), ""us_004"",
  TRUE, ""us_999""
)"),"us_003")</f>
        <v>us_003</v>
      </c>
      <c r="D61" s="10" t="str">
        <f>IFERROR(__xludf.DUMMYFUNCTION("""COMPUTED_VALUE"""),"us_003")</f>
        <v>us_003</v>
      </c>
      <c r="E61" s="11" t="s">
        <v>196</v>
      </c>
      <c r="F61" s="11" t="str">
        <f>IFERROR(__xludf.DUMMYFUNCTION("LET(
  s, UPPER(TRIM(N61)),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61" s="1" t="s">
        <v>197</v>
      </c>
      <c r="H61" s="12" t="str">
        <f>IFERROR(__xludf.DUMMYFUNCTION("IFS(
  REGEXMATCH(LOWER(TRIM(U61)),""barcelona""), ""acc_139"",
  REGEXMATCH(LOWER(TRIM(U61)),""madrid""), ""acc_148"",
  REGEXMATCH(LOWER(TRIM(U61)),""zaragoza""), ""acc_149"",
  REGEXMATCH(LOWER(TRIM(U61)),""ibiza""), ""acc_140"",
  REGEXMATCH(LOWER(TRI"&amp;"M(U61)),""mallorca""), ""acc_140"",
  REGEXMATCH(LOWER(TRIM(U61)),""menorca""), ""acc_150"",
  TRUE, """"
)
"),"acc_139")</f>
        <v>acc_139</v>
      </c>
      <c r="I61" s="10" t="s">
        <v>366</v>
      </c>
      <c r="K61" s="1" t="s">
        <v>197</v>
      </c>
      <c r="L61" s="11" t="str">
        <f>IFERROR(__xludf.DUMMYFUNCTION("LET(
  s, UPPER(TRIM(T61)),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61" s="13"/>
      <c r="N61" s="10" t="str">
        <f t="shared" ref="N61:O61" si="60">V61</f>
        <v>Patxi </v>
      </c>
      <c r="O61" s="10" t="str">
        <f t="shared" si="60"/>
        <v/>
      </c>
      <c r="P61" s="10"/>
      <c r="Q61" s="10"/>
      <c r="S61" s="16"/>
      <c r="T61" s="14" t="s">
        <v>348</v>
      </c>
      <c r="U61" s="14" t="s">
        <v>345</v>
      </c>
      <c r="V61" s="14" t="s">
        <v>222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>
      <c r="A62" s="1" t="s">
        <v>367</v>
      </c>
      <c r="B62" s="10" t="s">
        <v>368</v>
      </c>
      <c r="C62" s="11" t="str">
        <f>IFERROR(__xludf.DUMMYFUNCTION("IFS(
  REGEXMATCH(LOWER(TRIM(N62)),""nico""), ""us_001"",
  REGEXMATCH(LOWER(TRIM(N62)),""alfonso""), ""us_002"",
  REGEXMATCH(LOWER(TRIM(N62)),""patxi""), ""us_003"",
  REGEXMATCH(LOWER(TRIM(N62)),""martin""), ""us_004"",
  TRUE, ""us_999""
)"),"us_003")</f>
        <v>us_003</v>
      </c>
      <c r="D62" s="10" t="str">
        <f>IFERROR(__xludf.DUMMYFUNCTION("""COMPUTED_VALUE"""),"us_003")</f>
        <v>us_003</v>
      </c>
      <c r="E62" s="11" t="s">
        <v>196</v>
      </c>
      <c r="F62" s="11" t="str">
        <f>IFERROR(__xludf.DUMMYFUNCTION("LET(
  s, UPPER(TRIM(N62)),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62" s="1" t="s">
        <v>197</v>
      </c>
      <c r="H62" s="12" t="str">
        <f>IFERROR(__xludf.DUMMYFUNCTION("IFS(
  REGEXMATCH(LOWER(TRIM(U62)),""barcelona""), ""acc_139"",
  REGEXMATCH(LOWER(TRIM(U62)),""madrid""), ""acc_148"",
  REGEXMATCH(LOWER(TRIM(U62)),""zaragoza""), ""acc_149"",
  REGEXMATCH(LOWER(TRIM(U62)),""ibiza""), ""acc_140"",
  REGEXMATCH(LOWER(TRI"&amp;"M(U62)),""mallorca""), ""acc_140"",
  REGEXMATCH(LOWER(TRIM(U62)),""menorca""), ""acc_150"",
  TRUE, """"
)
"),"acc_140")</f>
        <v>acc_140</v>
      </c>
      <c r="I62" s="10" t="s">
        <v>369</v>
      </c>
      <c r="K62" s="1" t="s">
        <v>197</v>
      </c>
      <c r="L62" s="11" t="str">
        <f>IFERROR(__xludf.DUMMYFUNCTION("LET(
  s, UPPER(TRIM(T62)),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62" s="13"/>
      <c r="N62" s="10" t="str">
        <f t="shared" ref="N62:O62" si="61">V62</f>
        <v>Patxi </v>
      </c>
      <c r="O62" s="10" t="str">
        <f t="shared" si="61"/>
        <v/>
      </c>
      <c r="P62" s="10"/>
      <c r="Q62" s="10"/>
      <c r="S62" s="16"/>
      <c r="T62" s="14" t="s">
        <v>348</v>
      </c>
      <c r="U62" s="14" t="s">
        <v>370</v>
      </c>
      <c r="V62" s="14" t="s">
        <v>222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</row>
    <row r="63">
      <c r="A63" s="1" t="s">
        <v>371</v>
      </c>
      <c r="B63" s="10" t="s">
        <v>372</v>
      </c>
      <c r="C63" s="11" t="str">
        <f>IFERROR(__xludf.DUMMYFUNCTION("IFS(
  REGEXMATCH(LOWER(TRIM(N63)),""nico""), ""us_001"",
  REGEXMATCH(LOWER(TRIM(N63)),""alfonso""), ""us_002"",
  REGEXMATCH(LOWER(TRIM(N63)),""patxi""), ""us_003"",
  REGEXMATCH(LOWER(TRIM(N63)),""martin""), ""us_004"",
  TRUE, ""us_999""
)"),"us_003")</f>
        <v>us_003</v>
      </c>
      <c r="D63" s="10" t="str">
        <f>IFERROR(__xludf.DUMMYFUNCTION("""COMPUTED_VALUE"""),"us_003")</f>
        <v>us_003</v>
      </c>
      <c r="E63" s="11" t="s">
        <v>196</v>
      </c>
      <c r="F63" s="11" t="str">
        <f>IFERROR(__xludf.DUMMYFUNCTION("LET(
  s, UPPER(TRIM(N63)),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63" s="1" t="s">
        <v>197</v>
      </c>
      <c r="H63" s="12" t="str">
        <f>IFERROR(__xludf.DUMMYFUNCTION("IFS(
  REGEXMATCH(LOWER(TRIM(U63)),""barcelona""), ""acc_139"",
  REGEXMATCH(LOWER(TRIM(U63)),""madrid""), ""acc_148"",
  REGEXMATCH(LOWER(TRIM(U63)),""zaragoza""), ""acc_149"",
  REGEXMATCH(LOWER(TRIM(U63)),""ibiza""), ""acc_140"",
  REGEXMATCH(LOWER(TRI"&amp;"M(U63)),""mallorca""), ""acc_140"",
  REGEXMATCH(LOWER(TRIM(U63)),""menorca""), ""acc_150"",
  TRUE, """"
)
"),"acc_139")</f>
        <v>acc_139</v>
      </c>
      <c r="I63" s="10" t="s">
        <v>373</v>
      </c>
      <c r="K63" s="1" t="s">
        <v>197</v>
      </c>
      <c r="L63" s="11" t="str">
        <f>IFERROR(__xludf.DUMMYFUNCTION("LET(
  s, UPPER(TRIM(T63)),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63" s="13"/>
      <c r="N63" s="10" t="str">
        <f t="shared" ref="N63:O63" si="62">V63</f>
        <v>Patxi </v>
      </c>
      <c r="O63" s="10" t="str">
        <f t="shared" si="62"/>
        <v/>
      </c>
      <c r="P63" s="10"/>
      <c r="Q63" s="10"/>
      <c r="S63" s="16"/>
      <c r="T63" s="14" t="s">
        <v>348</v>
      </c>
      <c r="U63" s="14" t="s">
        <v>345</v>
      </c>
      <c r="V63" s="14" t="s">
        <v>222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>
      <c r="A64" s="1" t="s">
        <v>374</v>
      </c>
      <c r="B64" s="10" t="s">
        <v>375</v>
      </c>
      <c r="C64" s="11" t="str">
        <f>IFERROR(__xludf.DUMMYFUNCTION("IFS(
  REGEXMATCH(LOWER(TRIM(N64)),""nico""), ""us_001"",
  REGEXMATCH(LOWER(TRIM(N64)),""alfonso""), ""us_002"",
  REGEXMATCH(LOWER(TRIM(N64)),""patxi""), ""us_003"",
  REGEXMATCH(LOWER(TRIM(N64)),""martin""), ""us_004"",
  TRUE, ""us_999""
)"),"us_002")</f>
        <v>us_002</v>
      </c>
      <c r="D64" s="10" t="str">
        <f>IFERROR(__xludf.DUMMYFUNCTION("""COMPUTED_VALUE"""),"us_002")</f>
        <v>us_002</v>
      </c>
      <c r="E64" s="11" t="s">
        <v>196</v>
      </c>
      <c r="F64" s="11" t="str">
        <f>IFERROR(__xludf.DUMMYFUNCTION("LET(
  s, UPPER(TRIM(N64)),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64" s="1" t="s">
        <v>197</v>
      </c>
      <c r="H64" s="12" t="str">
        <f>IFERROR(__xludf.DUMMYFUNCTION("IFS(
  REGEXMATCH(LOWER(TRIM(U64)),""barcelona""), ""acc_139"",
  REGEXMATCH(LOWER(TRIM(U64)),""madrid""), ""acc_148"",
  REGEXMATCH(LOWER(TRIM(U64)),""zaragoza""), ""acc_149"",
  REGEXMATCH(LOWER(TRIM(U64)),""ibiza""), ""acc_140"",
  REGEXMATCH(LOWER(TRI"&amp;"M(U64)),""mallorca""), ""acc_140"",
  REGEXMATCH(LOWER(TRIM(U64)),""menorca""), ""acc_150"",
  TRUE, """"
)
"),"acc_148")</f>
        <v>acc_148</v>
      </c>
      <c r="I64" s="10" t="s">
        <v>376</v>
      </c>
      <c r="K64" s="1" t="s">
        <v>197</v>
      </c>
      <c r="L64" s="11" t="str">
        <f>IFERROR(__xludf.DUMMYFUNCTION("LET(
  s, UPPER(TRIM(T64)),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64" s="13"/>
      <c r="N64" s="10" t="str">
        <f t="shared" ref="N64:O64" si="63">V64</f>
        <v>Alfonso </v>
      </c>
      <c r="O64" s="10" t="str">
        <f t="shared" si="63"/>
        <v/>
      </c>
      <c r="P64" s="10"/>
      <c r="Q64" s="10"/>
      <c r="S64" s="14" t="b">
        <v>0</v>
      </c>
      <c r="T64" s="14" t="s">
        <v>348</v>
      </c>
      <c r="U64" s="14" t="s">
        <v>200</v>
      </c>
      <c r="V64" s="14" t="s">
        <v>201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</row>
    <row r="65">
      <c r="A65" s="1" t="s">
        <v>377</v>
      </c>
      <c r="B65" s="17" t="s">
        <v>378</v>
      </c>
      <c r="C65" s="11" t="str">
        <f>IFERROR(__xludf.DUMMYFUNCTION("IFS(
  REGEXMATCH(LOWER(TRIM(N65)),""nico""), ""us_001"",
  REGEXMATCH(LOWER(TRIM(N65)),""alfonso""), ""us_002"",
  REGEXMATCH(LOWER(TRIM(N65)),""patxi""), ""us_003"",
  REGEXMATCH(LOWER(TRIM(N65)),""martin""), ""us_004"",
  TRUE, ""us_999""
)"),"us_002")</f>
        <v>us_002</v>
      </c>
      <c r="D65" s="17" t="str">
        <f>IFERROR(__xludf.DUMMYFUNCTION("""COMPUTED_VALUE"""),"us_002")</f>
        <v>us_002</v>
      </c>
      <c r="E65" s="11" t="s">
        <v>196</v>
      </c>
      <c r="F65" s="11" t="str">
        <f>IFERROR(__xludf.DUMMYFUNCTION("LET(
  s, UPPER(TRIM(N65)),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65" s="1" t="s">
        <v>197</v>
      </c>
      <c r="H65" s="12" t="str">
        <f>IFERROR(__xludf.DUMMYFUNCTION("IFS(
  REGEXMATCH(LOWER(TRIM(U65)),""barcelona""), ""acc_139"",
  REGEXMATCH(LOWER(TRIM(U65)),""madrid""), ""acc_148"",
  REGEXMATCH(LOWER(TRIM(U65)),""zaragoza""), ""acc_149"",
  REGEXMATCH(LOWER(TRIM(U65)),""ibiza""), ""acc_140"",
  REGEXMATCH(LOWER(TRI"&amp;"M(U65)),""mallorca""), ""acc_140"",
  REGEXMATCH(LOWER(TRIM(U65)),""menorca""), ""acc_150"",
  TRUE, """"
)
"),"acc_148")</f>
        <v>acc_148</v>
      </c>
      <c r="I65" s="10"/>
      <c r="K65" s="1" t="s">
        <v>197</v>
      </c>
      <c r="L65" s="11" t="str">
        <f>IFERROR(__xludf.DUMMYFUNCTION("LET(
  s, UPPER(TRIM(T65)),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65" s="13"/>
      <c r="N65" s="10" t="str">
        <f t="shared" ref="N65:O65" si="64">V65</f>
        <v>Alfonso </v>
      </c>
      <c r="O65" s="10" t="str">
        <f t="shared" si="64"/>
        <v/>
      </c>
      <c r="P65" s="10"/>
      <c r="Q65" s="10"/>
      <c r="S65" s="14" t="b">
        <v>0</v>
      </c>
      <c r="T65" s="14" t="s">
        <v>348</v>
      </c>
      <c r="U65" s="14" t="s">
        <v>200</v>
      </c>
      <c r="V65" s="14" t="s">
        <v>201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>
      <c r="A66" s="1" t="s">
        <v>379</v>
      </c>
      <c r="B66" s="10" t="s">
        <v>380</v>
      </c>
      <c r="C66" s="11" t="str">
        <f>IFERROR(__xludf.DUMMYFUNCTION("IFS(
  REGEXMATCH(LOWER(TRIM(N66)),""nico""), ""us_001"",
  REGEXMATCH(LOWER(TRIM(N66)),""alfonso""), ""us_002"",
  REGEXMATCH(LOWER(TRIM(N66)),""patxi""), ""us_003"",
  REGEXMATCH(LOWER(TRIM(N66)),""martin""), ""us_004"",
  TRUE, ""us_999""
)"),"us_002")</f>
        <v>us_002</v>
      </c>
      <c r="D66" s="10" t="str">
        <f>IFERROR(__xludf.DUMMYFUNCTION("""COMPUTED_VALUE"""),"us_002")</f>
        <v>us_002</v>
      </c>
      <c r="E66" s="11" t="s">
        <v>196</v>
      </c>
      <c r="F66" s="11" t="str">
        <f>IFERROR(__xludf.DUMMYFUNCTION("LET(
  s, UPPER(TRIM(N66)),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66" s="1" t="s">
        <v>197</v>
      </c>
      <c r="H66" s="12" t="str">
        <f>IFERROR(__xludf.DUMMYFUNCTION("IFS(
  REGEXMATCH(LOWER(TRIM(U66)),""barcelona""), ""acc_139"",
  REGEXMATCH(LOWER(TRIM(U66)),""madrid""), ""acc_148"",
  REGEXMATCH(LOWER(TRIM(U66)),""zaragoza""), ""acc_149"",
  REGEXMATCH(LOWER(TRIM(U66)),""ibiza""), ""acc_140"",
  REGEXMATCH(LOWER(TRI"&amp;"M(U66)),""mallorca""), ""acc_140"",
  REGEXMATCH(LOWER(TRIM(U66)),""menorca""), ""acc_150"",
  TRUE, """"
)
"),"acc_148")</f>
        <v>acc_148</v>
      </c>
      <c r="I66" s="10"/>
      <c r="K66" s="1" t="s">
        <v>197</v>
      </c>
      <c r="L66" s="11" t="str">
        <f>IFERROR(__xludf.DUMMYFUNCTION("LET(
  s, UPPER(TRIM(T66)),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66" s="13"/>
      <c r="N66" s="10" t="str">
        <f t="shared" ref="N66:O66" si="65">V66</f>
        <v>Alfonso </v>
      </c>
      <c r="O66" s="10" t="str">
        <f t="shared" si="65"/>
        <v/>
      </c>
      <c r="P66" s="10"/>
      <c r="Q66" s="10"/>
      <c r="S66" s="14" t="b">
        <v>0</v>
      </c>
      <c r="T66" s="14" t="s">
        <v>348</v>
      </c>
      <c r="U66" s="14" t="s">
        <v>200</v>
      </c>
      <c r="V66" s="14" t="s">
        <v>201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</row>
    <row r="67">
      <c r="A67" s="1" t="s">
        <v>381</v>
      </c>
      <c r="B67" s="10" t="s">
        <v>382</v>
      </c>
      <c r="C67" s="11" t="str">
        <f>IFERROR(__xludf.DUMMYFUNCTION("IFS(
  REGEXMATCH(LOWER(TRIM(N67)),""nico""), ""us_001"",
  REGEXMATCH(LOWER(TRIM(N67)),""alfonso""), ""us_002"",
  REGEXMATCH(LOWER(TRIM(N67)),""patxi""), ""us_003"",
  REGEXMATCH(LOWER(TRIM(N67)),""martin""), ""us_004"",
  TRUE, ""us_999""
)"),"us_002")</f>
        <v>us_002</v>
      </c>
      <c r="D67" s="10" t="str">
        <f>IFERROR(__xludf.DUMMYFUNCTION("""COMPUTED_VALUE"""),"us_002")</f>
        <v>us_002</v>
      </c>
      <c r="E67" s="11" t="s">
        <v>196</v>
      </c>
      <c r="F67" s="11" t="str">
        <f>IFERROR(__xludf.DUMMYFUNCTION("LET(
  s, UPPER(TRIM(N67)),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67" s="1" t="s">
        <v>197</v>
      </c>
      <c r="H67" s="12" t="str">
        <f>IFERROR(__xludf.DUMMYFUNCTION("IFS(
  REGEXMATCH(LOWER(TRIM(U67)),""barcelona""), ""acc_139"",
  REGEXMATCH(LOWER(TRIM(U67)),""madrid""), ""acc_148"",
  REGEXMATCH(LOWER(TRIM(U67)),""zaragoza""), ""acc_149"",
  REGEXMATCH(LOWER(TRIM(U67)),""ibiza""), ""acc_140"",
  REGEXMATCH(LOWER(TRI"&amp;"M(U67)),""mallorca""), ""acc_140"",
  REGEXMATCH(LOWER(TRIM(U67)),""menorca""), ""acc_150"",
  TRUE, """"
)
"),"acc_148")</f>
        <v>acc_148</v>
      </c>
      <c r="I67" s="10"/>
      <c r="K67" s="1" t="s">
        <v>197</v>
      </c>
      <c r="L67" s="11" t="str">
        <f>IFERROR(__xludf.DUMMYFUNCTION("LET(
  s, UPPER(TRIM(T67)),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67" s="13"/>
      <c r="N67" s="10" t="str">
        <f t="shared" ref="N67:O67" si="66">V67</f>
        <v>Alfonso </v>
      </c>
      <c r="O67" s="10" t="str">
        <f t="shared" si="66"/>
        <v/>
      </c>
      <c r="P67" s="10"/>
      <c r="Q67" s="10"/>
      <c r="S67" s="14" t="b">
        <v>0</v>
      </c>
      <c r="T67" s="14" t="s">
        <v>348</v>
      </c>
      <c r="U67" s="14" t="s">
        <v>200</v>
      </c>
      <c r="V67" s="14" t="s">
        <v>201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>
      <c r="A68" s="1" t="s">
        <v>383</v>
      </c>
      <c r="B68" s="10" t="s">
        <v>384</v>
      </c>
      <c r="C68" s="11" t="str">
        <f>IFERROR(__xludf.DUMMYFUNCTION("IFS(
  REGEXMATCH(LOWER(TRIM(N68)),""nico""), ""us_001"",
  REGEXMATCH(LOWER(TRIM(N68)),""alfonso""), ""us_002"",
  REGEXMATCH(LOWER(TRIM(N68)),""patxi""), ""us_003"",
  REGEXMATCH(LOWER(TRIM(N68)),""martin""), ""us_004"",
  TRUE, ""us_999""
)"),"us_002")</f>
        <v>us_002</v>
      </c>
      <c r="D68" s="10" t="str">
        <f>IFERROR(__xludf.DUMMYFUNCTION("""COMPUTED_VALUE"""),"us_002")</f>
        <v>us_002</v>
      </c>
      <c r="E68" s="11" t="s">
        <v>196</v>
      </c>
      <c r="F68" s="11" t="str">
        <f>IFERROR(__xludf.DUMMYFUNCTION("LET(
  s, UPPER(TRIM(N68)),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68" s="1" t="s">
        <v>197</v>
      </c>
      <c r="H68" s="12" t="str">
        <f>IFERROR(__xludf.DUMMYFUNCTION("IFS(
  REGEXMATCH(LOWER(TRIM(U68)),""barcelona""), ""acc_139"",
  REGEXMATCH(LOWER(TRIM(U68)),""madrid""), ""acc_148"",
  REGEXMATCH(LOWER(TRIM(U68)),""zaragoza""), ""acc_149"",
  REGEXMATCH(LOWER(TRIM(U68)),""ibiza""), ""acc_140"",
  REGEXMATCH(LOWER(TRI"&amp;"M(U68)),""mallorca""), ""acc_140"",
  REGEXMATCH(LOWER(TRIM(U68)),""menorca""), ""acc_150"",
  TRUE, """"
)
"),"acc_148")</f>
        <v>acc_148</v>
      </c>
      <c r="I68" s="10"/>
      <c r="K68" s="1" t="s">
        <v>197</v>
      </c>
      <c r="L68" s="11" t="str">
        <f>IFERROR(__xludf.DUMMYFUNCTION("LET(
  s, UPPER(TRIM(T68)),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68" s="13"/>
      <c r="N68" s="10" t="str">
        <f t="shared" ref="N68:O68" si="67">V68</f>
        <v>Alfonso </v>
      </c>
      <c r="O68" s="10" t="str">
        <f t="shared" si="67"/>
        <v/>
      </c>
      <c r="P68" s="10"/>
      <c r="Q68" s="10"/>
      <c r="S68" s="14" t="b">
        <v>0</v>
      </c>
      <c r="T68" s="14" t="s">
        <v>348</v>
      </c>
      <c r="U68" s="14" t="s">
        <v>200</v>
      </c>
      <c r="V68" s="14" t="s">
        <v>201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</row>
    <row r="69">
      <c r="A69" s="1" t="s">
        <v>385</v>
      </c>
      <c r="B69" s="10" t="s">
        <v>386</v>
      </c>
      <c r="C69" s="11" t="str">
        <f>IFERROR(__xludf.DUMMYFUNCTION("IFS(
  REGEXMATCH(LOWER(TRIM(N69)),""nico""), ""us_001"",
  REGEXMATCH(LOWER(TRIM(N69)),""alfonso""), ""us_002"",
  REGEXMATCH(LOWER(TRIM(N69)),""patxi""), ""us_003"",
  REGEXMATCH(LOWER(TRIM(N69)),""martin""), ""us_004"",
  TRUE, ""us_999""
)"),"us_999")</f>
        <v>us_999</v>
      </c>
      <c r="D69" s="10"/>
      <c r="E69" s="11" t="s">
        <v>196</v>
      </c>
      <c r="F69" s="11" t="str">
        <f>IFERROR(__xludf.DUMMYFUNCTION("LET(
  s, UPPER(TRIM(N69)),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69" s="1" t="s">
        <v>197</v>
      </c>
      <c r="H69" s="12" t="str">
        <f>IFERROR(__xludf.DUMMYFUNCTION("IFS(
  REGEXMATCH(LOWER(TRIM(U69)),""barcelona""), ""acc_139"",
  REGEXMATCH(LOWER(TRIM(U69)),""madrid""), ""acc_148"",
  REGEXMATCH(LOWER(TRIM(U69)),""zaragoza""), ""acc_149"",
  REGEXMATCH(LOWER(TRIM(U69)),""ibiza""), ""acc_140"",
  REGEXMATCH(LOWER(TRI"&amp;"M(U69)),""mallorca""), ""acc_140"",
  REGEXMATCH(LOWER(TRIM(U69)),""menorca""), ""acc_150"",
  TRUE, """"
)
"),"")</f>
        <v/>
      </c>
      <c r="I69" s="10"/>
      <c r="K69" s="1" t="s">
        <v>197</v>
      </c>
      <c r="L69" s="11" t="str">
        <f>IFERROR(__xludf.DUMMYFUNCTION("LET(
  s, UPPER(TRIM(T69)),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69" s="13"/>
      <c r="N69" s="10" t="str">
        <f t="shared" ref="N69:O69" si="68">V69</f>
        <v/>
      </c>
      <c r="O69" s="10" t="str">
        <f t="shared" si="68"/>
        <v/>
      </c>
      <c r="P69" s="10"/>
      <c r="Q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>
      <c r="A70" s="1" t="s">
        <v>387</v>
      </c>
      <c r="B70" s="10" t="s">
        <v>388</v>
      </c>
      <c r="C70" s="11" t="str">
        <f>IFERROR(__xludf.DUMMYFUNCTION("IFS(
  REGEXMATCH(LOWER(TRIM(N70)),""nico""), ""us_001"",
  REGEXMATCH(LOWER(TRIM(N70)),""alfonso""), ""us_002"",
  REGEXMATCH(LOWER(TRIM(N70)),""patxi""), ""us_003"",
  REGEXMATCH(LOWER(TRIM(N70)),""martin""), ""us_004"",
  TRUE, ""us_999""
)"),"us_999")</f>
        <v>us_999</v>
      </c>
      <c r="D70" s="10"/>
      <c r="E70" s="11" t="s">
        <v>196</v>
      </c>
      <c r="F70" s="11" t="str">
        <f>IFERROR(__xludf.DUMMYFUNCTION("LET(
  s, UPPER(TRIM(N70)),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70" s="1" t="s">
        <v>197</v>
      </c>
      <c r="H70" s="12" t="str">
        <f>IFERROR(__xludf.DUMMYFUNCTION("IFS(
  REGEXMATCH(LOWER(TRIM(U70)),""barcelona""), ""acc_139"",
  REGEXMATCH(LOWER(TRIM(U70)),""madrid""), ""acc_148"",
  REGEXMATCH(LOWER(TRIM(U70)),""zaragoza""), ""acc_149"",
  REGEXMATCH(LOWER(TRIM(U70)),""ibiza""), ""acc_140"",
  REGEXMATCH(LOWER(TRI"&amp;"M(U70)),""mallorca""), ""acc_140"",
  REGEXMATCH(LOWER(TRIM(U70)),""menorca""), ""acc_150"",
  TRUE, """"
)
"),"")</f>
        <v/>
      </c>
      <c r="I70" s="10"/>
      <c r="K70" s="1" t="s">
        <v>197</v>
      </c>
      <c r="L70" s="11" t="str">
        <f>IFERROR(__xludf.DUMMYFUNCTION("LET(
  s, UPPER(TRIM(T70)),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70" s="13"/>
      <c r="N70" s="10" t="str">
        <f t="shared" ref="N70:O70" si="69">V70</f>
        <v/>
      </c>
      <c r="O70" s="10" t="str">
        <f t="shared" si="69"/>
        <v/>
      </c>
      <c r="P70" s="10"/>
      <c r="Q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</row>
    <row r="71">
      <c r="A71" s="1" t="s">
        <v>389</v>
      </c>
      <c r="B71" s="10" t="s">
        <v>390</v>
      </c>
      <c r="C71" s="11" t="str">
        <f>IFERROR(__xludf.DUMMYFUNCTION("IFS(
  REGEXMATCH(LOWER(TRIM(N71)),""nico""), ""us_001"",
  REGEXMATCH(LOWER(TRIM(N71)),""alfonso""), ""us_002"",
  REGEXMATCH(LOWER(TRIM(N71)),""patxi""), ""us_003"",
  REGEXMATCH(LOWER(TRIM(N71)),""martin""), ""us_004"",
  TRUE, ""us_999""
)"),"us_002")</f>
        <v>us_002</v>
      </c>
      <c r="D71" s="10" t="str">
        <f>IFERROR(__xludf.DUMMYFUNCTION("""COMPUTED_VALUE"""),"us_002")</f>
        <v>us_002</v>
      </c>
      <c r="E71" s="11" t="s">
        <v>196</v>
      </c>
      <c r="F71" s="11" t="str">
        <f>IFERROR(__xludf.DUMMYFUNCTION("LET(
  s, UPPER(TRIM(N71)),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71" s="1" t="s">
        <v>197</v>
      </c>
      <c r="H71" s="12" t="str">
        <f>IFERROR(__xludf.DUMMYFUNCTION("IFS(
  REGEXMATCH(LOWER(TRIM(U71)),""barcelona""), ""acc_139"",
  REGEXMATCH(LOWER(TRIM(U71)),""madrid""), ""acc_148"",
  REGEXMATCH(LOWER(TRIM(U71)),""zaragoza""), ""acc_149"",
  REGEXMATCH(LOWER(TRIM(U71)),""ibiza""), ""acc_140"",
  REGEXMATCH(LOWER(TRI"&amp;"M(U71)),""mallorca""), ""acc_140"",
  REGEXMATCH(LOWER(TRIM(U71)),""menorca""), ""acc_150"",
  TRUE, """"
)
"),"acc_148")</f>
        <v>acc_148</v>
      </c>
      <c r="I71" s="10"/>
      <c r="K71" s="1" t="s">
        <v>197</v>
      </c>
      <c r="L71" s="11" t="str">
        <f>IFERROR(__xludf.DUMMYFUNCTION("LET(
  s, UPPER(TRIM(T71)),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71" s="13"/>
      <c r="N71" s="10" t="str">
        <f t="shared" ref="N71:O71" si="70">V71</f>
        <v>Alfonso </v>
      </c>
      <c r="O71" s="10" t="str">
        <f t="shared" si="70"/>
        <v/>
      </c>
      <c r="P71" s="10"/>
      <c r="Q71" s="10"/>
      <c r="S71" s="14" t="b">
        <v>0</v>
      </c>
      <c r="T71" s="14" t="s">
        <v>348</v>
      </c>
      <c r="U71" s="14" t="s">
        <v>200</v>
      </c>
      <c r="V71" s="14" t="s">
        <v>201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>
      <c r="A72" s="1" t="s">
        <v>391</v>
      </c>
      <c r="B72" s="10" t="s">
        <v>392</v>
      </c>
      <c r="C72" s="11" t="str">
        <f>IFERROR(__xludf.DUMMYFUNCTION("IFS(
  REGEXMATCH(LOWER(TRIM(N72)),""nico""), ""us_001"",
  REGEXMATCH(LOWER(TRIM(N72)),""alfonso""), ""us_002"",
  REGEXMATCH(LOWER(TRIM(N72)),""patxi""), ""us_003"",
  REGEXMATCH(LOWER(TRIM(N72)),""martin""), ""us_004"",
  TRUE, ""us_999""
)"),"us_002")</f>
        <v>us_002</v>
      </c>
      <c r="D72" s="10" t="str">
        <f>IFERROR(__xludf.DUMMYFUNCTION("""COMPUTED_VALUE"""),"us_002")</f>
        <v>us_002</v>
      </c>
      <c r="E72" s="11" t="s">
        <v>196</v>
      </c>
      <c r="F72" s="11" t="str">
        <f>IFERROR(__xludf.DUMMYFUNCTION("LET(
  s, UPPER(TRIM(N72)),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72" s="1" t="s">
        <v>197</v>
      </c>
      <c r="H72" s="12" t="str">
        <f>IFERROR(__xludf.DUMMYFUNCTION("IFS(
  REGEXMATCH(LOWER(TRIM(U72)),""barcelona""), ""acc_139"",
  REGEXMATCH(LOWER(TRIM(U72)),""madrid""), ""acc_148"",
  REGEXMATCH(LOWER(TRIM(U72)),""zaragoza""), ""acc_149"",
  REGEXMATCH(LOWER(TRIM(U72)),""ibiza""), ""acc_140"",
  REGEXMATCH(LOWER(TRI"&amp;"M(U72)),""mallorca""), ""acc_140"",
  REGEXMATCH(LOWER(TRIM(U72)),""menorca""), ""acc_150"",
  TRUE, """"
)
"),"acc_148")</f>
        <v>acc_148</v>
      </c>
      <c r="I72" s="10"/>
      <c r="K72" s="1" t="s">
        <v>197</v>
      </c>
      <c r="L72" s="11" t="str">
        <f>IFERROR(__xludf.DUMMYFUNCTION("LET(
  s, UPPER(TRIM(T72)),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72" s="13"/>
      <c r="N72" s="10" t="str">
        <f t="shared" ref="N72:O72" si="71">V72</f>
        <v>Alfonso </v>
      </c>
      <c r="O72" s="10" t="str">
        <f t="shared" si="71"/>
        <v/>
      </c>
      <c r="P72" s="10"/>
      <c r="Q72" s="10"/>
      <c r="S72" s="14" t="b">
        <v>0</v>
      </c>
      <c r="T72" s="14" t="s">
        <v>348</v>
      </c>
      <c r="U72" s="14" t="s">
        <v>200</v>
      </c>
      <c r="V72" s="14" t="s">
        <v>201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</row>
    <row r="73">
      <c r="A73" s="1" t="s">
        <v>393</v>
      </c>
      <c r="B73" s="10" t="s">
        <v>394</v>
      </c>
      <c r="C73" s="11" t="str">
        <f>IFERROR(__xludf.DUMMYFUNCTION("IFS(
  REGEXMATCH(LOWER(TRIM(N73)),""nico""), ""us_001"",
  REGEXMATCH(LOWER(TRIM(N73)),""alfonso""), ""us_002"",
  REGEXMATCH(LOWER(TRIM(N73)),""patxi""), ""us_003"",
  REGEXMATCH(LOWER(TRIM(N73)),""martin""), ""us_004"",
  TRUE, ""us_999""
)"),"us_002")</f>
        <v>us_002</v>
      </c>
      <c r="D73" s="10" t="str">
        <f>IFERROR(__xludf.DUMMYFUNCTION("""COMPUTED_VALUE"""),"us_002")</f>
        <v>us_002</v>
      </c>
      <c r="E73" s="11" t="s">
        <v>196</v>
      </c>
      <c r="F73" s="11" t="str">
        <f>IFERROR(__xludf.DUMMYFUNCTION("LET(
  s, UPPER(TRIM(N73)),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73" s="1" t="s">
        <v>197</v>
      </c>
      <c r="H73" s="12" t="str">
        <f>IFERROR(__xludf.DUMMYFUNCTION("IFS(
  REGEXMATCH(LOWER(TRIM(U73)),""barcelona""), ""acc_139"",
  REGEXMATCH(LOWER(TRIM(U73)),""madrid""), ""acc_148"",
  REGEXMATCH(LOWER(TRIM(U73)),""zaragoza""), ""acc_149"",
  REGEXMATCH(LOWER(TRIM(U73)),""ibiza""), ""acc_140"",
  REGEXMATCH(LOWER(TRI"&amp;"M(U73)),""mallorca""), ""acc_140"",
  REGEXMATCH(LOWER(TRIM(U73)),""menorca""), ""acc_150"",
  TRUE, """"
)
"),"acc_148")</f>
        <v>acc_148</v>
      </c>
      <c r="I73" s="10"/>
      <c r="K73" s="1" t="s">
        <v>197</v>
      </c>
      <c r="L73" s="11" t="str">
        <f>IFERROR(__xludf.DUMMYFUNCTION("LET(
  s, UPPER(TRIM(T73)),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73" s="13"/>
      <c r="N73" s="10" t="str">
        <f t="shared" ref="N73:O73" si="72">V73</f>
        <v>Alfonso </v>
      </c>
      <c r="O73" s="10" t="str">
        <f t="shared" si="72"/>
        <v/>
      </c>
      <c r="P73" s="10"/>
      <c r="Q73" s="10"/>
      <c r="S73" s="14" t="b">
        <v>0</v>
      </c>
      <c r="T73" s="14" t="s">
        <v>348</v>
      </c>
      <c r="U73" s="14" t="s">
        <v>200</v>
      </c>
      <c r="V73" s="14" t="s">
        <v>201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>
      <c r="A74" s="1" t="s">
        <v>395</v>
      </c>
      <c r="B74" s="10" t="s">
        <v>396</v>
      </c>
      <c r="C74" s="11" t="str">
        <f>IFERROR(__xludf.DUMMYFUNCTION("IFS(
  REGEXMATCH(LOWER(TRIM(N74)),""nico""), ""us_001"",
  REGEXMATCH(LOWER(TRIM(N74)),""alfonso""), ""us_002"",
  REGEXMATCH(LOWER(TRIM(N74)),""patxi""), ""us_003"",
  REGEXMATCH(LOWER(TRIM(N74)),""martin""), ""us_004"",
  TRUE, ""us_999""
)"),"us_002")</f>
        <v>us_002</v>
      </c>
      <c r="D74" s="10" t="str">
        <f>IFERROR(__xludf.DUMMYFUNCTION("""COMPUTED_VALUE"""),"us_002")</f>
        <v>us_002</v>
      </c>
      <c r="E74" s="11" t="s">
        <v>196</v>
      </c>
      <c r="F74" s="11" t="str">
        <f>IFERROR(__xludf.DUMMYFUNCTION("LET(
  s, UPPER(TRIM(N74)),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74" s="1" t="s">
        <v>197</v>
      </c>
      <c r="H74" s="12" t="str">
        <f>IFERROR(__xludf.DUMMYFUNCTION("IFS(
  REGEXMATCH(LOWER(TRIM(U74)),""barcelona""), ""acc_139"",
  REGEXMATCH(LOWER(TRIM(U74)),""madrid""), ""acc_148"",
  REGEXMATCH(LOWER(TRIM(U74)),""zaragoza""), ""acc_149"",
  REGEXMATCH(LOWER(TRIM(U74)),""ibiza""), ""acc_140"",
  REGEXMATCH(LOWER(TRI"&amp;"M(U74)),""mallorca""), ""acc_140"",
  REGEXMATCH(LOWER(TRIM(U74)),""menorca""), ""acc_150"",
  TRUE, """"
)
"),"acc_148")</f>
        <v>acc_148</v>
      </c>
      <c r="I74" s="10"/>
      <c r="K74" s="1" t="s">
        <v>197</v>
      </c>
      <c r="L74" s="11" t="str">
        <f>IFERROR(__xludf.DUMMYFUNCTION("LET(
  s, UPPER(TRIM(T74)),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74" s="13"/>
      <c r="N74" s="10" t="str">
        <f t="shared" ref="N74:O74" si="73">V74</f>
        <v>Alfonso </v>
      </c>
      <c r="O74" s="10" t="str">
        <f t="shared" si="73"/>
        <v/>
      </c>
      <c r="P74" s="10"/>
      <c r="Q74" s="10"/>
      <c r="S74" s="14" t="b">
        <v>0</v>
      </c>
      <c r="T74" s="14" t="s">
        <v>348</v>
      </c>
      <c r="U74" s="14" t="s">
        <v>200</v>
      </c>
      <c r="V74" s="14" t="s">
        <v>201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</row>
    <row r="75">
      <c r="A75" s="1" t="s">
        <v>397</v>
      </c>
      <c r="B75" s="10" t="s">
        <v>398</v>
      </c>
      <c r="C75" s="11" t="str">
        <f>IFERROR(__xludf.DUMMYFUNCTION("IFS(
  REGEXMATCH(LOWER(TRIM(N75)),""nico""), ""us_001"",
  REGEXMATCH(LOWER(TRIM(N75)),""alfonso""), ""us_002"",
  REGEXMATCH(LOWER(TRIM(N75)),""patxi""), ""us_003"",
  REGEXMATCH(LOWER(TRIM(N75)),""martin""), ""us_004"",
  TRUE, ""us_999""
)"),"us_002")</f>
        <v>us_002</v>
      </c>
      <c r="D75" s="10" t="str">
        <f>IFERROR(__xludf.DUMMYFUNCTION("""COMPUTED_VALUE"""),"us_002")</f>
        <v>us_002</v>
      </c>
      <c r="E75" s="11" t="s">
        <v>196</v>
      </c>
      <c r="F75" s="11" t="str">
        <f>IFERROR(__xludf.DUMMYFUNCTION("LET(
  s, UPPER(TRIM(N75)),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75" s="1" t="s">
        <v>197</v>
      </c>
      <c r="H75" s="12" t="str">
        <f>IFERROR(__xludf.DUMMYFUNCTION("IFS(
  REGEXMATCH(LOWER(TRIM(U75)),""barcelona""), ""acc_139"",
  REGEXMATCH(LOWER(TRIM(U75)),""madrid""), ""acc_148"",
  REGEXMATCH(LOWER(TRIM(U75)),""zaragoza""), ""acc_149"",
  REGEXMATCH(LOWER(TRIM(U75)),""ibiza""), ""acc_140"",
  REGEXMATCH(LOWER(TRI"&amp;"M(U75)),""mallorca""), ""acc_140"",
  REGEXMATCH(LOWER(TRIM(U75)),""menorca""), ""acc_150"",
  TRUE, """"
)
"),"acc_148")</f>
        <v>acc_148</v>
      </c>
      <c r="I75" s="10"/>
      <c r="K75" s="1" t="s">
        <v>197</v>
      </c>
      <c r="L75" s="11" t="str">
        <f>IFERROR(__xludf.DUMMYFUNCTION("LET(
  s, UPPER(TRIM(T75)),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75" s="13"/>
      <c r="N75" s="10" t="str">
        <f t="shared" ref="N75:O75" si="74">V75</f>
        <v>Alfonso </v>
      </c>
      <c r="O75" s="10" t="str">
        <f t="shared" si="74"/>
        <v/>
      </c>
      <c r="P75" s="10"/>
      <c r="Q75" s="10"/>
      <c r="S75" s="14" t="b">
        <v>0</v>
      </c>
      <c r="T75" s="14" t="s">
        <v>348</v>
      </c>
      <c r="U75" s="14" t="s">
        <v>200</v>
      </c>
      <c r="V75" s="14" t="s">
        <v>201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</row>
    <row r="76">
      <c r="A76" s="1" t="s">
        <v>399</v>
      </c>
      <c r="B76" s="10" t="s">
        <v>400</v>
      </c>
      <c r="C76" s="11" t="str">
        <f>IFERROR(__xludf.DUMMYFUNCTION("IFS(
  REGEXMATCH(LOWER(TRIM(N76)),""nico""), ""us_001"",
  REGEXMATCH(LOWER(TRIM(N76)),""alfonso""), ""us_002"",
  REGEXMATCH(LOWER(TRIM(N76)),""patxi""), ""us_003"",
  REGEXMATCH(LOWER(TRIM(N76)),""martin""), ""us_004"",
  TRUE, ""us_999""
)"),"us_002")</f>
        <v>us_002</v>
      </c>
      <c r="D76" s="10" t="str">
        <f>IFERROR(__xludf.DUMMYFUNCTION("""COMPUTED_VALUE"""),"us_002")</f>
        <v>us_002</v>
      </c>
      <c r="E76" s="11" t="s">
        <v>196</v>
      </c>
      <c r="F76" s="11" t="str">
        <f>IFERROR(__xludf.DUMMYFUNCTION("LET(
  s, UPPER(TRIM(N76)),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76" s="1" t="s">
        <v>197</v>
      </c>
      <c r="H76" s="12" t="str">
        <f>IFERROR(__xludf.DUMMYFUNCTION("IFS(
  REGEXMATCH(LOWER(TRIM(U76)),""barcelona""), ""acc_139"",
  REGEXMATCH(LOWER(TRIM(U76)),""madrid""), ""acc_148"",
  REGEXMATCH(LOWER(TRIM(U76)),""zaragoza""), ""acc_149"",
  REGEXMATCH(LOWER(TRIM(U76)),""ibiza""), ""acc_140"",
  REGEXMATCH(LOWER(TRI"&amp;"M(U76)),""mallorca""), ""acc_140"",
  REGEXMATCH(LOWER(TRIM(U76)),""menorca""), ""acc_150"",
  TRUE, """"
)
"),"acc_148")</f>
        <v>acc_148</v>
      </c>
      <c r="I76" s="10"/>
      <c r="K76" s="1" t="s">
        <v>197</v>
      </c>
      <c r="L76" s="11" t="str">
        <f>IFERROR(__xludf.DUMMYFUNCTION("LET(
  s, UPPER(TRIM(T76)),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76" s="13"/>
      <c r="N76" s="10" t="str">
        <f t="shared" ref="N76:O76" si="75">V76</f>
        <v>Alfonso </v>
      </c>
      <c r="O76" s="10" t="str">
        <f t="shared" si="75"/>
        <v/>
      </c>
      <c r="P76" s="10"/>
      <c r="Q76" s="10"/>
      <c r="S76" s="14" t="b">
        <v>0</v>
      </c>
      <c r="T76" s="14" t="s">
        <v>348</v>
      </c>
      <c r="U76" s="14" t="s">
        <v>200</v>
      </c>
      <c r="V76" s="14" t="s">
        <v>201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</row>
    <row r="77">
      <c r="A77" s="1" t="s">
        <v>401</v>
      </c>
      <c r="B77" s="10" t="s">
        <v>402</v>
      </c>
      <c r="C77" s="11" t="str">
        <f>IFERROR(__xludf.DUMMYFUNCTION("IFS(
  REGEXMATCH(LOWER(TRIM(N77)),""nico""), ""us_001"",
  REGEXMATCH(LOWER(TRIM(N77)),""alfonso""), ""us_002"",
  REGEXMATCH(LOWER(TRIM(N77)),""patxi""), ""us_003"",
  REGEXMATCH(LOWER(TRIM(N77)),""martin""), ""us_004"",
  TRUE, ""us_999""
)"),"us_002")</f>
        <v>us_002</v>
      </c>
      <c r="D77" s="10" t="str">
        <f>IFERROR(__xludf.DUMMYFUNCTION("""COMPUTED_VALUE"""),"us_002")</f>
        <v>us_002</v>
      </c>
      <c r="E77" s="11" t="s">
        <v>196</v>
      </c>
      <c r="F77" s="11" t="str">
        <f>IFERROR(__xludf.DUMMYFUNCTION("LET(
  s, UPPER(TRIM(N77)),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77" s="1" t="s">
        <v>197</v>
      </c>
      <c r="H77" s="12" t="str">
        <f>IFERROR(__xludf.DUMMYFUNCTION("IFS(
  REGEXMATCH(LOWER(TRIM(U77)),""barcelona""), ""acc_139"",
  REGEXMATCH(LOWER(TRIM(U77)),""madrid""), ""acc_148"",
  REGEXMATCH(LOWER(TRIM(U77)),""zaragoza""), ""acc_149"",
  REGEXMATCH(LOWER(TRIM(U77)),""ibiza""), ""acc_140"",
  REGEXMATCH(LOWER(TRI"&amp;"M(U77)),""mallorca""), ""acc_140"",
  REGEXMATCH(LOWER(TRIM(U77)),""menorca""), ""acc_150"",
  TRUE, """"
)
"),"acc_148")</f>
        <v>acc_148</v>
      </c>
      <c r="I77" s="10"/>
      <c r="K77" s="1" t="s">
        <v>197</v>
      </c>
      <c r="L77" s="11" t="str">
        <f>IFERROR(__xludf.DUMMYFUNCTION("LET(
  s, UPPER(TRIM(T77)),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77" s="13"/>
      <c r="N77" s="10" t="str">
        <f t="shared" ref="N77:O77" si="76">V77</f>
        <v>Alfonso </v>
      </c>
      <c r="O77" s="10" t="str">
        <f t="shared" si="76"/>
        <v/>
      </c>
      <c r="P77" s="10"/>
      <c r="Q77" s="10"/>
      <c r="S77" s="14" t="b">
        <v>0</v>
      </c>
      <c r="T77" s="14" t="s">
        <v>348</v>
      </c>
      <c r="U77" s="14" t="s">
        <v>200</v>
      </c>
      <c r="V77" s="14" t="s">
        <v>201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</row>
    <row r="78">
      <c r="A78" s="1" t="s">
        <v>403</v>
      </c>
      <c r="B78" s="10" t="s">
        <v>404</v>
      </c>
      <c r="C78" s="11" t="str">
        <f>IFERROR(__xludf.DUMMYFUNCTION("IFS(
  REGEXMATCH(LOWER(TRIM(N78)),""nico""), ""us_001"",
  REGEXMATCH(LOWER(TRIM(N78)),""alfonso""), ""us_002"",
  REGEXMATCH(LOWER(TRIM(N78)),""patxi""), ""us_003"",
  REGEXMATCH(LOWER(TRIM(N78)),""martin""), ""us_004"",
  TRUE, ""us_999""
)"),"us_002")</f>
        <v>us_002</v>
      </c>
      <c r="D78" s="10" t="str">
        <f>IFERROR(__xludf.DUMMYFUNCTION("""COMPUTED_VALUE"""),"us_002")</f>
        <v>us_002</v>
      </c>
      <c r="E78" s="11" t="s">
        <v>196</v>
      </c>
      <c r="F78" s="11" t="str">
        <f>IFERROR(__xludf.DUMMYFUNCTION("LET(
  s, UPPER(TRIM(N78)),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78" s="1" t="s">
        <v>197</v>
      </c>
      <c r="H78" s="12" t="str">
        <f>IFERROR(__xludf.DUMMYFUNCTION("IFS(
  REGEXMATCH(LOWER(TRIM(U78)),""barcelona""), ""acc_139"",
  REGEXMATCH(LOWER(TRIM(U78)),""madrid""), ""acc_148"",
  REGEXMATCH(LOWER(TRIM(U78)),""zaragoza""), ""acc_149"",
  REGEXMATCH(LOWER(TRIM(U78)),""ibiza""), ""acc_140"",
  REGEXMATCH(LOWER(TRI"&amp;"M(U78)),""mallorca""), ""acc_140"",
  REGEXMATCH(LOWER(TRIM(U78)),""menorca""), ""acc_150"",
  TRUE, """"
)
"),"acc_148")</f>
        <v>acc_148</v>
      </c>
      <c r="I78" s="10"/>
      <c r="K78" s="1" t="s">
        <v>197</v>
      </c>
      <c r="L78" s="11" t="str">
        <f>IFERROR(__xludf.DUMMYFUNCTION("LET(
  s, UPPER(TRIM(T78)),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78" s="13"/>
      <c r="N78" s="10" t="str">
        <f t="shared" ref="N78:O78" si="77">V78</f>
        <v>Alfonso </v>
      </c>
      <c r="O78" s="10" t="str">
        <f t="shared" si="77"/>
        <v/>
      </c>
      <c r="P78" s="10"/>
      <c r="Q78" s="10"/>
      <c r="S78" s="14" t="b">
        <v>0</v>
      </c>
      <c r="T78" s="14" t="s">
        <v>348</v>
      </c>
      <c r="U78" s="14" t="s">
        <v>200</v>
      </c>
      <c r="V78" s="14" t="s">
        <v>201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</row>
    <row r="79">
      <c r="A79" s="1" t="s">
        <v>405</v>
      </c>
      <c r="B79" s="10" t="s">
        <v>406</v>
      </c>
      <c r="C79" s="11" t="str">
        <f>IFERROR(__xludf.DUMMYFUNCTION("IFS(
  REGEXMATCH(LOWER(TRIM(N79)),""nico""), ""us_001"",
  REGEXMATCH(LOWER(TRIM(N79)),""alfonso""), ""us_002"",
  REGEXMATCH(LOWER(TRIM(N79)),""patxi""), ""us_003"",
  REGEXMATCH(LOWER(TRIM(N79)),""martin""), ""us_004"",
  TRUE, ""us_999""
)"),"us_002")</f>
        <v>us_002</v>
      </c>
      <c r="D79" s="10" t="str">
        <f>IFERROR(__xludf.DUMMYFUNCTION("""COMPUTED_VALUE"""),"us_002")</f>
        <v>us_002</v>
      </c>
      <c r="E79" s="11" t="s">
        <v>196</v>
      </c>
      <c r="F79" s="11" t="str">
        <f>IFERROR(__xludf.DUMMYFUNCTION("LET(
  s, UPPER(TRIM(N79)),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79" s="1" t="s">
        <v>197</v>
      </c>
      <c r="H79" s="12" t="str">
        <f>IFERROR(__xludf.DUMMYFUNCTION("IFS(
  REGEXMATCH(LOWER(TRIM(U79)),""barcelona""), ""acc_139"",
  REGEXMATCH(LOWER(TRIM(U79)),""madrid""), ""acc_148"",
  REGEXMATCH(LOWER(TRIM(U79)),""zaragoza""), ""acc_149"",
  REGEXMATCH(LOWER(TRIM(U79)),""ibiza""), ""acc_140"",
  REGEXMATCH(LOWER(TRI"&amp;"M(U79)),""mallorca""), ""acc_140"",
  REGEXMATCH(LOWER(TRIM(U79)),""menorca""), ""acc_150"",
  TRUE, """"
)
"),"acc_148")</f>
        <v>acc_148</v>
      </c>
      <c r="I79" s="10"/>
      <c r="K79" s="1" t="s">
        <v>197</v>
      </c>
      <c r="L79" s="11" t="str">
        <f>IFERROR(__xludf.DUMMYFUNCTION("LET(
  s, UPPER(TRIM(T79)),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79" s="13"/>
      <c r="N79" s="10" t="str">
        <f t="shared" ref="N79:O79" si="78">V79</f>
        <v>Alfonso </v>
      </c>
      <c r="O79" s="10" t="str">
        <f t="shared" si="78"/>
        <v/>
      </c>
      <c r="P79" s="10"/>
      <c r="Q79" s="10"/>
      <c r="S79" s="14" t="b">
        <v>0</v>
      </c>
      <c r="T79" s="14" t="s">
        <v>348</v>
      </c>
      <c r="U79" s="14" t="s">
        <v>200</v>
      </c>
      <c r="V79" s="14" t="s">
        <v>201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</row>
    <row r="80">
      <c r="A80" s="1" t="s">
        <v>407</v>
      </c>
      <c r="B80" s="10" t="s">
        <v>408</v>
      </c>
      <c r="C80" s="11" t="str">
        <f>IFERROR(__xludf.DUMMYFUNCTION("IFS(
  REGEXMATCH(LOWER(TRIM(N80)),""nico""), ""us_001"",
  REGEXMATCH(LOWER(TRIM(N80)),""alfonso""), ""us_002"",
  REGEXMATCH(LOWER(TRIM(N80)),""patxi""), ""us_003"",
  REGEXMATCH(LOWER(TRIM(N80)),""martin""), ""us_004"",
  TRUE, ""us_999""
)"),"us_002")</f>
        <v>us_002</v>
      </c>
      <c r="D80" s="10" t="str">
        <f>IFERROR(__xludf.DUMMYFUNCTION("""COMPUTED_VALUE"""),"us_002")</f>
        <v>us_002</v>
      </c>
      <c r="E80" s="11" t="s">
        <v>196</v>
      </c>
      <c r="F80" s="11" t="str">
        <f>IFERROR(__xludf.DUMMYFUNCTION("LET(
  s, UPPER(TRIM(N80)),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80" s="1" t="s">
        <v>197</v>
      </c>
      <c r="H80" s="12" t="str">
        <f>IFERROR(__xludf.DUMMYFUNCTION("IFS(
  REGEXMATCH(LOWER(TRIM(U80)),""barcelona""), ""acc_139"",
  REGEXMATCH(LOWER(TRIM(U80)),""madrid""), ""acc_148"",
  REGEXMATCH(LOWER(TRIM(U80)),""zaragoza""), ""acc_149"",
  REGEXMATCH(LOWER(TRIM(U80)),""ibiza""), ""acc_140"",
  REGEXMATCH(LOWER(TRI"&amp;"M(U80)),""mallorca""), ""acc_140"",
  REGEXMATCH(LOWER(TRIM(U80)),""menorca""), ""acc_150"",
  TRUE, """"
)
"),"")</f>
        <v/>
      </c>
      <c r="I80" s="10" t="s">
        <v>409</v>
      </c>
      <c r="K80" s="1" t="s">
        <v>197</v>
      </c>
      <c r="L80" s="11" t="str">
        <f>IFERROR(__xludf.DUMMYFUNCTION("LET(
  s, UPPER(TRIM(T80)),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80" s="13"/>
      <c r="N80" s="10" t="str">
        <f t="shared" ref="N80:O80" si="79">V80</f>
        <v>Alfonso </v>
      </c>
      <c r="O80" s="10" t="str">
        <f t="shared" si="79"/>
        <v/>
      </c>
      <c r="P80" s="10"/>
      <c r="Q80" s="10"/>
      <c r="S80" s="16"/>
      <c r="T80" s="14" t="s">
        <v>348</v>
      </c>
      <c r="U80" s="14" t="s">
        <v>359</v>
      </c>
      <c r="V80" s="14" t="s">
        <v>201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</row>
    <row r="81">
      <c r="A81" s="1" t="s">
        <v>410</v>
      </c>
      <c r="B81" s="10" t="s">
        <v>411</v>
      </c>
      <c r="C81" s="11" t="str">
        <f>IFERROR(__xludf.DUMMYFUNCTION("IFS(
  REGEXMATCH(LOWER(TRIM(N81)),""nico""), ""us_001"",
  REGEXMATCH(LOWER(TRIM(N81)),""alfonso""), ""us_002"",
  REGEXMATCH(LOWER(TRIM(N81)),""patxi""), ""us_003"",
  REGEXMATCH(LOWER(TRIM(N81)),""martin""), ""us_004"",
  TRUE, ""us_999""
)"),"us_002")</f>
        <v>us_002</v>
      </c>
      <c r="D81" s="10" t="str">
        <f>IFERROR(__xludf.DUMMYFUNCTION("""COMPUTED_VALUE"""),"us_002")</f>
        <v>us_002</v>
      </c>
      <c r="E81" s="11" t="s">
        <v>196</v>
      </c>
      <c r="F81" s="11" t="str">
        <f>IFERROR(__xludf.DUMMYFUNCTION("LET(
  s, UPPER(TRIM(N81)),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81" s="1" t="s">
        <v>197</v>
      </c>
      <c r="H81" s="12" t="str">
        <f>IFERROR(__xludf.DUMMYFUNCTION("IFS(
  REGEXMATCH(LOWER(TRIM(U81)),""barcelona""), ""acc_139"",
  REGEXMATCH(LOWER(TRIM(U81)),""madrid""), ""acc_148"",
  REGEXMATCH(LOWER(TRIM(U81)),""zaragoza""), ""acc_149"",
  REGEXMATCH(LOWER(TRIM(U81)),""ibiza""), ""acc_140"",
  REGEXMATCH(LOWER(TRI"&amp;"M(U81)),""mallorca""), ""acc_140"",
  REGEXMATCH(LOWER(TRIM(U81)),""menorca""), ""acc_150"",
  TRUE, """"
)
"),"acc_139")</f>
        <v>acc_139</v>
      </c>
      <c r="I81" s="10" t="s">
        <v>412</v>
      </c>
      <c r="K81" s="1" t="s">
        <v>197</v>
      </c>
      <c r="L81" s="11" t="str">
        <f>IFERROR(__xludf.DUMMYFUNCTION("LET(
  s, UPPER(TRIM(T81)),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81" s="13"/>
      <c r="N81" s="10" t="str">
        <f t="shared" ref="N81:O81" si="80">V81</f>
        <v>Alfonso </v>
      </c>
      <c r="O81" s="10" t="str">
        <f t="shared" si="80"/>
        <v/>
      </c>
      <c r="P81" s="10"/>
      <c r="Q81" s="10"/>
      <c r="S81" s="16"/>
      <c r="T81" s="14" t="s">
        <v>348</v>
      </c>
      <c r="U81" s="14" t="s">
        <v>413</v>
      </c>
      <c r="V81" s="14" t="s">
        <v>201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</row>
    <row r="82">
      <c r="A82" s="1" t="s">
        <v>414</v>
      </c>
      <c r="B82" s="10" t="s">
        <v>415</v>
      </c>
      <c r="C82" s="11" t="str">
        <f>IFERROR(__xludf.DUMMYFUNCTION("IFS(
  REGEXMATCH(LOWER(TRIM(N82)),""nico""), ""us_001"",
  REGEXMATCH(LOWER(TRIM(N82)),""alfonso""), ""us_002"",
  REGEXMATCH(LOWER(TRIM(N82)),""patxi""), ""us_003"",
  REGEXMATCH(LOWER(TRIM(N82)),""martin""), ""us_004"",
  TRUE, ""us_999""
)"),"us_003")</f>
        <v>us_003</v>
      </c>
      <c r="D82" s="10" t="str">
        <f>IFERROR(__xludf.DUMMYFUNCTION("""COMPUTED_VALUE"""),"us_003")</f>
        <v>us_003</v>
      </c>
      <c r="E82" s="11" t="s">
        <v>196</v>
      </c>
      <c r="F82" s="11" t="str">
        <f>IFERROR(__xludf.DUMMYFUNCTION("LET(
  s, UPPER(TRIM(N82)),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82" s="1" t="s">
        <v>197</v>
      </c>
      <c r="H82" s="12" t="str">
        <f>IFERROR(__xludf.DUMMYFUNCTION("IFS(
  REGEXMATCH(LOWER(TRIM(U82)),""barcelona""), ""acc_139"",
  REGEXMATCH(LOWER(TRIM(U82)),""madrid""), ""acc_148"",
  REGEXMATCH(LOWER(TRIM(U82)),""zaragoza""), ""acc_149"",
  REGEXMATCH(LOWER(TRIM(U82)),""ibiza""), ""acc_140"",
  REGEXMATCH(LOWER(TRI"&amp;"M(U82)),""mallorca""), ""acc_140"",
  REGEXMATCH(LOWER(TRIM(U82)),""menorca""), ""acc_150"",
  TRUE, """"
)
"),"acc_139")</f>
        <v>acc_139</v>
      </c>
      <c r="I82" s="10" t="s">
        <v>412</v>
      </c>
      <c r="K82" s="1" t="s">
        <v>197</v>
      </c>
      <c r="L82" s="11" t="str">
        <f>IFERROR(__xludf.DUMMYFUNCTION("LET(
  s, UPPER(TRIM(T82)),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82" s="13"/>
      <c r="N82" s="10" t="str">
        <f t="shared" ref="N82:O82" si="81">V82</f>
        <v>Patxi </v>
      </c>
      <c r="O82" s="10" t="str">
        <f t="shared" si="81"/>
        <v/>
      </c>
      <c r="P82" s="10"/>
      <c r="Q82" s="10"/>
      <c r="S82" s="16"/>
      <c r="T82" s="14" t="s">
        <v>348</v>
      </c>
      <c r="U82" s="14" t="s">
        <v>345</v>
      </c>
      <c r="V82" s="14" t="s">
        <v>222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</row>
    <row r="83">
      <c r="A83" s="1" t="s">
        <v>416</v>
      </c>
      <c r="B83" s="10" t="s">
        <v>417</v>
      </c>
      <c r="C83" s="11" t="str">
        <f>IFERROR(__xludf.DUMMYFUNCTION("IFS(
  REGEXMATCH(LOWER(TRIM(N83)),""nico""), ""us_001"",
  REGEXMATCH(LOWER(TRIM(N83)),""alfonso""), ""us_002"",
  REGEXMATCH(LOWER(TRIM(N83)),""patxi""), ""us_003"",
  REGEXMATCH(LOWER(TRIM(N83)),""martin""), ""us_004"",
  TRUE, ""us_999""
)"),"us_003")</f>
        <v>us_003</v>
      </c>
      <c r="D83" s="10" t="str">
        <f>IFERROR(__xludf.DUMMYFUNCTION("""COMPUTED_VALUE"""),"us_003")</f>
        <v>us_003</v>
      </c>
      <c r="E83" s="11" t="s">
        <v>196</v>
      </c>
      <c r="F83" s="11" t="str">
        <f>IFERROR(__xludf.DUMMYFUNCTION("LET(
  s, UPPER(TRIM(N83)),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83" s="1" t="s">
        <v>197</v>
      </c>
      <c r="H83" s="12" t="str">
        <f>IFERROR(__xludf.DUMMYFUNCTION("IFS(
  REGEXMATCH(LOWER(TRIM(U83)),""barcelona""), ""acc_139"",
  REGEXMATCH(LOWER(TRIM(U83)),""madrid""), ""acc_148"",
  REGEXMATCH(LOWER(TRIM(U83)),""zaragoza""), ""acc_149"",
  REGEXMATCH(LOWER(TRIM(U83)),""ibiza""), ""acc_140"",
  REGEXMATCH(LOWER(TRI"&amp;"M(U83)),""mallorca""), ""acc_140"",
  REGEXMATCH(LOWER(TRIM(U83)),""menorca""), ""acc_150"",
  TRUE, """"
)
"),"acc_139")</f>
        <v>acc_139</v>
      </c>
      <c r="I83" s="10" t="s">
        <v>412</v>
      </c>
      <c r="K83" s="1" t="s">
        <v>197</v>
      </c>
      <c r="L83" s="11" t="str">
        <f>IFERROR(__xludf.DUMMYFUNCTION("LET(
  s, UPPER(TRIM(T83)),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83" s="13"/>
      <c r="N83" s="10" t="str">
        <f t="shared" ref="N83:O83" si="82">V83</f>
        <v>Patxi </v>
      </c>
      <c r="O83" s="10" t="str">
        <f t="shared" si="82"/>
        <v/>
      </c>
      <c r="P83" s="10"/>
      <c r="Q83" s="10"/>
      <c r="S83" s="16"/>
      <c r="T83" s="14" t="s">
        <v>418</v>
      </c>
      <c r="U83" s="14" t="s">
        <v>345</v>
      </c>
      <c r="V83" s="14" t="s">
        <v>222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</row>
    <row r="84">
      <c r="A84" s="1" t="s">
        <v>419</v>
      </c>
      <c r="B84" s="10" t="s">
        <v>420</v>
      </c>
      <c r="C84" s="11" t="str">
        <f>IFERROR(__xludf.DUMMYFUNCTION("IFS(
  REGEXMATCH(LOWER(TRIM(N84)),""nico""), ""us_001"",
  REGEXMATCH(LOWER(TRIM(N84)),""alfonso""), ""us_002"",
  REGEXMATCH(LOWER(TRIM(N84)),""patxi""), ""us_003"",
  REGEXMATCH(LOWER(TRIM(N84)),""martin""), ""us_004"",
  TRUE, ""us_999""
)"),"us_003")</f>
        <v>us_003</v>
      </c>
      <c r="D84" s="10" t="str">
        <f>IFERROR(__xludf.DUMMYFUNCTION("""COMPUTED_VALUE"""),"us_003")</f>
        <v>us_003</v>
      </c>
      <c r="E84" s="11" t="s">
        <v>196</v>
      </c>
      <c r="F84" s="11" t="str">
        <f>IFERROR(__xludf.DUMMYFUNCTION("LET(
  s, UPPER(TRIM(N84)),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84" s="1" t="s">
        <v>197</v>
      </c>
      <c r="H84" s="12" t="str">
        <f>IFERROR(__xludf.DUMMYFUNCTION("IFS(
  REGEXMATCH(LOWER(TRIM(U84)),""barcelona""), ""acc_139"",
  REGEXMATCH(LOWER(TRIM(U84)),""madrid""), ""acc_148"",
  REGEXMATCH(LOWER(TRIM(U84)),""zaragoza""), ""acc_149"",
  REGEXMATCH(LOWER(TRIM(U84)),""ibiza""), ""acc_140"",
  REGEXMATCH(LOWER(TRI"&amp;"M(U84)),""mallorca""), ""acc_140"",
  REGEXMATCH(LOWER(TRIM(U84)),""menorca""), ""acc_150"",
  TRUE, """"
)
"),"acc_139")</f>
        <v>acc_139</v>
      </c>
      <c r="I84" s="10" t="s">
        <v>412</v>
      </c>
      <c r="K84" s="1" t="s">
        <v>197</v>
      </c>
      <c r="L84" s="11" t="str">
        <f>IFERROR(__xludf.DUMMYFUNCTION("LET(
  s, UPPER(TRIM(T84)),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84" s="13"/>
      <c r="N84" s="10" t="str">
        <f t="shared" ref="N84:O84" si="83">V84</f>
        <v>Patxi </v>
      </c>
      <c r="O84" s="10" t="str">
        <f t="shared" si="83"/>
        <v/>
      </c>
      <c r="P84" s="10"/>
      <c r="Q84" s="10"/>
      <c r="S84" s="16"/>
      <c r="T84" s="14" t="s">
        <v>418</v>
      </c>
      <c r="U84" s="14" t="s">
        <v>345</v>
      </c>
      <c r="V84" s="14" t="s">
        <v>222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</row>
    <row r="85">
      <c r="A85" s="1" t="s">
        <v>421</v>
      </c>
      <c r="B85" s="10" t="s">
        <v>422</v>
      </c>
      <c r="C85" s="11" t="str">
        <f>IFERROR(__xludf.DUMMYFUNCTION("IFS(
  REGEXMATCH(LOWER(TRIM(N85)),""nico""), ""us_001"",
  REGEXMATCH(LOWER(TRIM(N85)),""alfonso""), ""us_002"",
  REGEXMATCH(LOWER(TRIM(N85)),""patxi""), ""us_003"",
  REGEXMATCH(LOWER(TRIM(N85)),""martin""), ""us_004"",
  TRUE, ""us_999""
)"),"us_003")</f>
        <v>us_003</v>
      </c>
      <c r="D85" s="10" t="str">
        <f>IFERROR(__xludf.DUMMYFUNCTION("""COMPUTED_VALUE"""),"us_003")</f>
        <v>us_003</v>
      </c>
      <c r="E85" s="11" t="s">
        <v>196</v>
      </c>
      <c r="F85" s="11" t="str">
        <f>IFERROR(__xludf.DUMMYFUNCTION("LET(
  s, UPPER(TRIM(N85)),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85" s="1" t="s">
        <v>197</v>
      </c>
      <c r="H85" s="12" t="str">
        <f>IFERROR(__xludf.DUMMYFUNCTION("IFS(
  REGEXMATCH(LOWER(TRIM(U85)),""barcelona""), ""acc_139"",
  REGEXMATCH(LOWER(TRIM(U85)),""madrid""), ""acc_148"",
  REGEXMATCH(LOWER(TRIM(U85)),""zaragoza""), ""acc_149"",
  REGEXMATCH(LOWER(TRIM(U85)),""ibiza""), ""acc_140"",
  REGEXMATCH(LOWER(TRI"&amp;"M(U85)),""mallorca""), ""acc_140"",
  REGEXMATCH(LOWER(TRIM(U85)),""menorca""), ""acc_150"",
  TRUE, """"
)
"),"acc_139")</f>
        <v>acc_139</v>
      </c>
      <c r="I85" s="10" t="s">
        <v>423</v>
      </c>
      <c r="K85" s="1" t="s">
        <v>197</v>
      </c>
      <c r="L85" s="11" t="str">
        <f>IFERROR(__xludf.DUMMYFUNCTION("LET(
  s, UPPER(TRIM(T85)),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85" s="13"/>
      <c r="N85" s="10" t="str">
        <f t="shared" ref="N85:O85" si="84">V85</f>
        <v>Patxi </v>
      </c>
      <c r="O85" s="10" t="str">
        <f t="shared" si="84"/>
        <v/>
      </c>
      <c r="P85" s="10"/>
      <c r="Q85" s="10"/>
      <c r="S85" s="16"/>
      <c r="T85" s="14" t="s">
        <v>418</v>
      </c>
      <c r="U85" s="14" t="s">
        <v>345</v>
      </c>
      <c r="V85" s="14" t="s">
        <v>222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</row>
    <row r="86">
      <c r="A86" s="1" t="s">
        <v>424</v>
      </c>
      <c r="B86" s="10" t="s">
        <v>425</v>
      </c>
      <c r="C86" s="11" t="str">
        <f>IFERROR(__xludf.DUMMYFUNCTION("IFS(
  REGEXMATCH(LOWER(TRIM(N86)),""nico""), ""us_001"",
  REGEXMATCH(LOWER(TRIM(N86)),""alfonso""), ""us_002"",
  REGEXMATCH(LOWER(TRIM(N86)),""patxi""), ""us_003"",
  REGEXMATCH(LOWER(TRIM(N86)),""martin""), ""us_004"",
  TRUE, ""us_999""
)"),"us_003")</f>
        <v>us_003</v>
      </c>
      <c r="D86" s="10" t="str">
        <f>IFERROR(__xludf.DUMMYFUNCTION("""COMPUTED_VALUE"""),"us_003")</f>
        <v>us_003</v>
      </c>
      <c r="E86" s="11" t="s">
        <v>196</v>
      </c>
      <c r="F86" s="11" t="str">
        <f>IFERROR(__xludf.DUMMYFUNCTION("LET(
  s, UPPER(TRIM(N86)),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86" s="1" t="s">
        <v>197</v>
      </c>
      <c r="H86" s="12" t="str">
        <f>IFERROR(__xludf.DUMMYFUNCTION("IFS(
  REGEXMATCH(LOWER(TRIM(U86)),""barcelona""), ""acc_139"",
  REGEXMATCH(LOWER(TRIM(U86)),""madrid""), ""acc_148"",
  REGEXMATCH(LOWER(TRIM(U86)),""zaragoza""), ""acc_149"",
  REGEXMATCH(LOWER(TRIM(U86)),""ibiza""), ""acc_140"",
  REGEXMATCH(LOWER(TRI"&amp;"M(U86)),""mallorca""), ""acc_140"",
  REGEXMATCH(LOWER(TRIM(U86)),""menorca""), ""acc_150"",
  TRUE, """"
)
"),"acc_139")</f>
        <v>acc_139</v>
      </c>
      <c r="I86" s="10" t="s">
        <v>426</v>
      </c>
      <c r="K86" s="1" t="s">
        <v>197</v>
      </c>
      <c r="L86" s="11" t="str">
        <f>IFERROR(__xludf.DUMMYFUNCTION("LET(
  s, UPPER(TRIM(T86)),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86" s="13"/>
      <c r="N86" s="10" t="str">
        <f t="shared" ref="N86:O86" si="85">V86</f>
        <v>Patxi </v>
      </c>
      <c r="O86" s="10" t="str">
        <f t="shared" si="85"/>
        <v/>
      </c>
      <c r="P86" s="10"/>
      <c r="Q86" s="10"/>
      <c r="S86" s="16"/>
      <c r="T86" s="14" t="s">
        <v>418</v>
      </c>
      <c r="U86" s="14" t="s">
        <v>345</v>
      </c>
      <c r="V86" s="14" t="s">
        <v>222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</row>
    <row r="87">
      <c r="A87" s="1" t="s">
        <v>427</v>
      </c>
      <c r="B87" s="10" t="s">
        <v>428</v>
      </c>
      <c r="C87" s="11" t="str">
        <f>IFERROR(__xludf.DUMMYFUNCTION("IFS(
  REGEXMATCH(LOWER(TRIM(N87)),""nico""), ""us_001"",
  REGEXMATCH(LOWER(TRIM(N87)),""alfonso""), ""us_002"",
  REGEXMATCH(LOWER(TRIM(N87)),""patxi""), ""us_003"",
  REGEXMATCH(LOWER(TRIM(N87)),""martin""), ""us_004"",
  TRUE, ""us_999""
)"),"us_003")</f>
        <v>us_003</v>
      </c>
      <c r="D87" s="10" t="str">
        <f>IFERROR(__xludf.DUMMYFUNCTION("""COMPUTED_VALUE"""),"us_003")</f>
        <v>us_003</v>
      </c>
      <c r="E87" s="11" t="s">
        <v>196</v>
      </c>
      <c r="F87" s="11" t="str">
        <f>IFERROR(__xludf.DUMMYFUNCTION("LET(
  s, UPPER(TRIM(N87)),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87" s="1" t="s">
        <v>197</v>
      </c>
      <c r="H87" s="12" t="str">
        <f>IFERROR(__xludf.DUMMYFUNCTION("IFS(
  REGEXMATCH(LOWER(TRIM(U87)),""barcelona""), ""acc_139"",
  REGEXMATCH(LOWER(TRIM(U87)),""madrid""), ""acc_148"",
  REGEXMATCH(LOWER(TRIM(U87)),""zaragoza""), ""acc_149"",
  REGEXMATCH(LOWER(TRIM(U87)),""ibiza""), ""acc_140"",
  REGEXMATCH(LOWER(TRI"&amp;"M(U87)),""mallorca""), ""acc_140"",
  REGEXMATCH(LOWER(TRIM(U87)),""menorca""), ""acc_150"",
  TRUE, """"
)
"),"")</f>
        <v/>
      </c>
      <c r="I87" s="10" t="s">
        <v>429</v>
      </c>
      <c r="K87" s="1" t="s">
        <v>197</v>
      </c>
      <c r="L87" s="11" t="str">
        <f>IFERROR(__xludf.DUMMYFUNCTION("LET(
  s, UPPER(TRIM(T87)),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87" s="13"/>
      <c r="N87" s="10" t="str">
        <f t="shared" ref="N87:O87" si="86">V87</f>
        <v>Patxi </v>
      </c>
      <c r="O87" s="10" t="str">
        <f t="shared" si="86"/>
        <v/>
      </c>
      <c r="P87" s="10"/>
      <c r="Q87" s="10"/>
      <c r="S87" s="16"/>
      <c r="T87" s="14" t="s">
        <v>418</v>
      </c>
      <c r="U87" s="14" t="s">
        <v>284</v>
      </c>
      <c r="V87" s="14" t="s">
        <v>222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</row>
    <row r="88">
      <c r="A88" s="1" t="s">
        <v>430</v>
      </c>
      <c r="B88" s="10" t="s">
        <v>431</v>
      </c>
      <c r="C88" s="11" t="str">
        <f>IFERROR(__xludf.DUMMYFUNCTION("IFS(
  REGEXMATCH(LOWER(TRIM(N88)),""nico""), ""us_001"",
  REGEXMATCH(LOWER(TRIM(N88)),""alfonso""), ""us_002"",
  REGEXMATCH(LOWER(TRIM(N88)),""patxi""), ""us_003"",
  REGEXMATCH(LOWER(TRIM(N88)),""martin""), ""us_004"",
  TRUE, ""us_999""
)"),"us_003")</f>
        <v>us_003</v>
      </c>
      <c r="D88" s="10" t="str">
        <f>IFERROR(__xludf.DUMMYFUNCTION("""COMPUTED_VALUE"""),"us_003")</f>
        <v>us_003</v>
      </c>
      <c r="E88" s="11" t="s">
        <v>196</v>
      </c>
      <c r="F88" s="11" t="str">
        <f>IFERROR(__xludf.DUMMYFUNCTION("LET(
  s, UPPER(TRIM(N88)),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88" s="1" t="s">
        <v>197</v>
      </c>
      <c r="H88" s="12" t="str">
        <f>IFERROR(__xludf.DUMMYFUNCTION("IFS(
  REGEXMATCH(LOWER(TRIM(U88)),""barcelona""), ""acc_139"",
  REGEXMATCH(LOWER(TRIM(U88)),""madrid""), ""acc_148"",
  REGEXMATCH(LOWER(TRIM(U88)),""zaragoza""), ""acc_149"",
  REGEXMATCH(LOWER(TRIM(U88)),""ibiza""), ""acc_140"",
  REGEXMATCH(LOWER(TRI"&amp;"M(U88)),""mallorca""), ""acc_140"",
  REGEXMATCH(LOWER(TRIM(U88)),""menorca""), ""acc_150"",
  TRUE, """"
)
"),"acc_139")</f>
        <v>acc_139</v>
      </c>
      <c r="I88" s="10"/>
      <c r="K88" s="1" t="s">
        <v>197</v>
      </c>
      <c r="L88" s="11" t="str">
        <f>IFERROR(__xludf.DUMMYFUNCTION("LET(
  s, UPPER(TRIM(T88)),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88" s="13"/>
      <c r="N88" s="10" t="str">
        <f t="shared" ref="N88:O88" si="87">V88</f>
        <v>Patxi </v>
      </c>
      <c r="O88" s="10" t="str">
        <f t="shared" si="87"/>
        <v/>
      </c>
      <c r="P88" s="10"/>
      <c r="Q88" s="10"/>
      <c r="S88" s="16"/>
      <c r="T88" s="14" t="s">
        <v>418</v>
      </c>
      <c r="U88" s="14" t="s">
        <v>345</v>
      </c>
      <c r="V88" s="14" t="s">
        <v>222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</row>
    <row r="89">
      <c r="A89" s="1" t="s">
        <v>432</v>
      </c>
      <c r="B89" s="10" t="s">
        <v>433</v>
      </c>
      <c r="C89" s="11" t="str">
        <f>IFERROR(__xludf.DUMMYFUNCTION("IFS(
  REGEXMATCH(LOWER(TRIM(N89)),""nico""), ""us_001"",
  REGEXMATCH(LOWER(TRIM(N89)),""alfonso""), ""us_002"",
  REGEXMATCH(LOWER(TRIM(N89)),""patxi""), ""us_003"",
  REGEXMATCH(LOWER(TRIM(N89)),""martin""), ""us_004"",
  TRUE, ""us_999""
)"),"us_003")</f>
        <v>us_003</v>
      </c>
      <c r="D89" s="10" t="str">
        <f>IFERROR(__xludf.DUMMYFUNCTION("""COMPUTED_VALUE"""),"us_003")</f>
        <v>us_003</v>
      </c>
      <c r="E89" s="11" t="s">
        <v>196</v>
      </c>
      <c r="F89" s="11" t="str">
        <f>IFERROR(__xludf.DUMMYFUNCTION("LET(
  s, UPPER(TRIM(N89)),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89" s="1" t="s">
        <v>197</v>
      </c>
      <c r="H89" s="12" t="str">
        <f>IFERROR(__xludf.DUMMYFUNCTION("IFS(
  REGEXMATCH(LOWER(TRIM(U89)),""barcelona""), ""acc_139"",
  REGEXMATCH(LOWER(TRIM(U89)),""madrid""), ""acc_148"",
  REGEXMATCH(LOWER(TRIM(U89)),""zaragoza""), ""acc_149"",
  REGEXMATCH(LOWER(TRIM(U89)),""ibiza""), ""acc_140"",
  REGEXMATCH(LOWER(TRI"&amp;"M(U89)),""mallorca""), ""acc_140"",
  REGEXMATCH(LOWER(TRIM(U89)),""menorca""), ""acc_150"",
  TRUE, """"
)
"),"acc_139")</f>
        <v>acc_139</v>
      </c>
      <c r="I89" s="10"/>
      <c r="K89" s="1" t="s">
        <v>197</v>
      </c>
      <c r="L89" s="11" t="str">
        <f>IFERROR(__xludf.DUMMYFUNCTION("LET(
  s, UPPER(TRIM(T89)),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89" s="13"/>
      <c r="N89" s="10" t="str">
        <f t="shared" ref="N89:O89" si="88">V89</f>
        <v>Patxi </v>
      </c>
      <c r="O89" s="10" t="str">
        <f t="shared" si="88"/>
        <v/>
      </c>
      <c r="P89" s="10"/>
      <c r="Q89" s="10"/>
      <c r="S89" s="16"/>
      <c r="T89" s="14" t="s">
        <v>418</v>
      </c>
      <c r="U89" s="14" t="s">
        <v>345</v>
      </c>
      <c r="V89" s="14" t="s">
        <v>222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</row>
    <row r="90">
      <c r="A90" s="1" t="s">
        <v>434</v>
      </c>
      <c r="B90" s="10" t="s">
        <v>435</v>
      </c>
      <c r="C90" s="11" t="str">
        <f>IFERROR(__xludf.DUMMYFUNCTION("IFS(
  REGEXMATCH(LOWER(TRIM(N90)),""nico""), ""us_001"",
  REGEXMATCH(LOWER(TRIM(N90)),""alfonso""), ""us_002"",
  REGEXMATCH(LOWER(TRIM(N90)),""patxi""), ""us_003"",
  REGEXMATCH(LOWER(TRIM(N90)),""martin""), ""us_004"",
  TRUE, ""us_999""
)"),"us_001")</f>
        <v>us_001</v>
      </c>
      <c r="D90" s="10" t="str">
        <f>IFERROR(__xludf.DUMMYFUNCTION("""COMPUTED_VALUE"""),"us_001")</f>
        <v>us_001</v>
      </c>
      <c r="E90" s="11" t="s">
        <v>196</v>
      </c>
      <c r="F90" s="11" t="str">
        <f>IFERROR(__xludf.DUMMYFUNCTION("LET(
  s, UPPER(TRIM(N90)),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90" s="1" t="s">
        <v>197</v>
      </c>
      <c r="H90" s="12" t="str">
        <f>IFERROR(__xludf.DUMMYFUNCTION("IFS(
  REGEXMATCH(LOWER(TRIM(U90)),""barcelona""), ""acc_139"",
  REGEXMATCH(LOWER(TRIM(U90)),""madrid""), ""acc_148"",
  REGEXMATCH(LOWER(TRIM(U90)),""zaragoza""), ""acc_149"",
  REGEXMATCH(LOWER(TRIM(U90)),""ibiza""), ""acc_140"",
  REGEXMATCH(LOWER(TRI"&amp;"M(U90)),""mallorca""), ""acc_140"",
  REGEXMATCH(LOWER(TRIM(U90)),""menorca""), ""acc_150"",
  TRUE, """"
)
"),"acc_148")</f>
        <v>acc_148</v>
      </c>
      <c r="I90" s="10"/>
      <c r="K90" s="1" t="s">
        <v>197</v>
      </c>
      <c r="L90" s="11" t="str">
        <f>IFERROR(__xludf.DUMMYFUNCTION("LET(
  s, UPPER(TRIM(T90)),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90" s="13"/>
      <c r="N90" s="10" t="str">
        <f t="shared" ref="N90:O90" si="89">V90</f>
        <v>Nico</v>
      </c>
      <c r="O90" s="10" t="str">
        <f t="shared" si="89"/>
        <v/>
      </c>
      <c r="P90" s="10"/>
      <c r="Q90" s="10"/>
      <c r="S90" s="14" t="b">
        <v>0</v>
      </c>
      <c r="T90" s="14" t="s">
        <v>436</v>
      </c>
      <c r="U90" s="14" t="s">
        <v>200</v>
      </c>
      <c r="V90" s="14" t="s">
        <v>206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</row>
    <row r="91">
      <c r="A91" s="1" t="s">
        <v>437</v>
      </c>
      <c r="B91" s="10" t="s">
        <v>438</v>
      </c>
      <c r="C91" s="11" t="str">
        <f>IFERROR(__xludf.DUMMYFUNCTION("IFS(
  REGEXMATCH(LOWER(TRIM(N91)),""nico""), ""us_001"",
  REGEXMATCH(LOWER(TRIM(N91)),""alfonso""), ""us_002"",
  REGEXMATCH(LOWER(TRIM(N91)),""patxi""), ""us_003"",
  REGEXMATCH(LOWER(TRIM(N91)),""martin""), ""us_004"",
  TRUE, ""us_999""
)"),"us_001")</f>
        <v>us_001</v>
      </c>
      <c r="D91" s="10" t="str">
        <f>IFERROR(__xludf.DUMMYFUNCTION("""COMPUTED_VALUE"""),"us_001")</f>
        <v>us_001</v>
      </c>
      <c r="E91" s="11" t="s">
        <v>196</v>
      </c>
      <c r="F91" s="11" t="str">
        <f>IFERROR(__xludf.DUMMYFUNCTION("LET(
  s, UPPER(TRIM(N91)),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91" s="1" t="s">
        <v>197</v>
      </c>
      <c r="H91" s="12" t="str">
        <f>IFERROR(__xludf.DUMMYFUNCTION("IFS(
  REGEXMATCH(LOWER(TRIM(U91)),""barcelona""), ""acc_139"",
  REGEXMATCH(LOWER(TRIM(U91)),""madrid""), ""acc_148"",
  REGEXMATCH(LOWER(TRIM(U91)),""zaragoza""), ""acc_149"",
  REGEXMATCH(LOWER(TRIM(U91)),""ibiza""), ""acc_140"",
  REGEXMATCH(LOWER(TRI"&amp;"M(U91)),""mallorca""), ""acc_140"",
  REGEXMATCH(LOWER(TRIM(U91)),""menorca""), ""acc_150"",
  TRUE, """"
)
"),"acc_148")</f>
        <v>acc_148</v>
      </c>
      <c r="I91" s="10"/>
      <c r="K91" s="1" t="s">
        <v>197</v>
      </c>
      <c r="L91" s="11" t="str">
        <f>IFERROR(__xludf.DUMMYFUNCTION("LET(
  s, UPPER(TRIM(T91)),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91" s="13"/>
      <c r="N91" s="10" t="str">
        <f t="shared" ref="N91:O91" si="90">V91</f>
        <v>Nico</v>
      </c>
      <c r="O91" s="10" t="str">
        <f t="shared" si="90"/>
        <v/>
      </c>
      <c r="P91" s="10"/>
      <c r="Q91" s="10"/>
      <c r="S91" s="14" t="b">
        <v>0</v>
      </c>
      <c r="T91" s="14" t="s">
        <v>436</v>
      </c>
      <c r="U91" s="14" t="s">
        <v>200</v>
      </c>
      <c r="V91" s="14" t="s">
        <v>206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</row>
    <row r="92">
      <c r="A92" s="1" t="s">
        <v>439</v>
      </c>
      <c r="B92" s="10" t="s">
        <v>440</v>
      </c>
      <c r="C92" s="11" t="str">
        <f>IFERROR(__xludf.DUMMYFUNCTION("IFS(
  REGEXMATCH(LOWER(TRIM(N92)),""nico""), ""us_001"",
  REGEXMATCH(LOWER(TRIM(N92)),""alfonso""), ""us_002"",
  REGEXMATCH(LOWER(TRIM(N92)),""patxi""), ""us_003"",
  REGEXMATCH(LOWER(TRIM(N92)),""martin""), ""us_004"",
  TRUE, ""us_999""
)"),"us_001")</f>
        <v>us_001</v>
      </c>
      <c r="D92" s="10" t="str">
        <f>IFERROR(__xludf.DUMMYFUNCTION("""COMPUTED_VALUE"""),"us_001")</f>
        <v>us_001</v>
      </c>
      <c r="E92" s="11" t="s">
        <v>196</v>
      </c>
      <c r="F92" s="11" t="str">
        <f>IFERROR(__xludf.DUMMYFUNCTION("LET(
  s, UPPER(TRIM(N92)),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92" s="1" t="s">
        <v>197</v>
      </c>
      <c r="H92" s="12" t="str">
        <f>IFERROR(__xludf.DUMMYFUNCTION("IFS(
  REGEXMATCH(LOWER(TRIM(U92)),""barcelona""), ""acc_139"",
  REGEXMATCH(LOWER(TRIM(U92)),""madrid""), ""acc_148"",
  REGEXMATCH(LOWER(TRIM(U92)),""zaragoza""), ""acc_149"",
  REGEXMATCH(LOWER(TRIM(U92)),""ibiza""), ""acc_140"",
  REGEXMATCH(LOWER(TRI"&amp;"M(U92)),""mallorca""), ""acc_140"",
  REGEXMATCH(LOWER(TRIM(U92)),""menorca""), ""acc_150"",
  TRUE, """"
)
"),"acc_148")</f>
        <v>acc_148</v>
      </c>
      <c r="I92" s="10"/>
      <c r="K92" s="1" t="s">
        <v>197</v>
      </c>
      <c r="L92" s="11" t="str">
        <f>IFERROR(__xludf.DUMMYFUNCTION("LET(
  s, UPPER(TRIM(T92)),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92" s="13"/>
      <c r="N92" s="10" t="str">
        <f t="shared" ref="N92:O92" si="91">V92</f>
        <v>Nico</v>
      </c>
      <c r="O92" s="10" t="str">
        <f t="shared" si="91"/>
        <v/>
      </c>
      <c r="P92" s="10"/>
      <c r="Q92" s="10"/>
      <c r="S92" s="14" t="b">
        <v>0</v>
      </c>
      <c r="T92" s="14" t="s">
        <v>348</v>
      </c>
      <c r="U92" s="14" t="s">
        <v>200</v>
      </c>
      <c r="V92" s="14" t="s">
        <v>206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</row>
    <row r="93">
      <c r="A93" s="1" t="s">
        <v>441</v>
      </c>
      <c r="B93" s="10" t="s">
        <v>442</v>
      </c>
      <c r="C93" s="11" t="str">
        <f>IFERROR(__xludf.DUMMYFUNCTION("IFS(
  REGEXMATCH(LOWER(TRIM(N93)),""nico""), ""us_001"",
  REGEXMATCH(LOWER(TRIM(N93)),""alfonso""), ""us_002"",
  REGEXMATCH(LOWER(TRIM(N93)),""patxi""), ""us_003"",
  REGEXMATCH(LOWER(TRIM(N93)),""martin""), ""us_004"",
  TRUE, ""us_999""
)"),"us_001")</f>
        <v>us_001</v>
      </c>
      <c r="D93" s="10" t="str">
        <f>IFERROR(__xludf.DUMMYFUNCTION("""COMPUTED_VALUE"""),"us_001")</f>
        <v>us_001</v>
      </c>
      <c r="E93" s="11" t="s">
        <v>196</v>
      </c>
      <c r="F93" s="11" t="str">
        <f>IFERROR(__xludf.DUMMYFUNCTION("LET(
  s, UPPER(TRIM(N93)),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93" s="1" t="s">
        <v>197</v>
      </c>
      <c r="H93" s="12" t="str">
        <f>IFERROR(__xludf.DUMMYFUNCTION("IFS(
  REGEXMATCH(LOWER(TRIM(U93)),""barcelona""), ""acc_139"",
  REGEXMATCH(LOWER(TRIM(U93)),""madrid""), ""acc_148"",
  REGEXMATCH(LOWER(TRIM(U93)),""zaragoza""), ""acc_149"",
  REGEXMATCH(LOWER(TRIM(U93)),""ibiza""), ""acc_140"",
  REGEXMATCH(LOWER(TRI"&amp;"M(U93)),""mallorca""), ""acc_140"",
  REGEXMATCH(LOWER(TRIM(U93)),""menorca""), ""acc_150"",
  TRUE, """"
)
"),"acc_148")</f>
        <v>acc_148</v>
      </c>
      <c r="I93" s="10" t="s">
        <v>443</v>
      </c>
      <c r="K93" s="1" t="s">
        <v>197</v>
      </c>
      <c r="L93" s="11" t="str">
        <f>IFERROR(__xludf.DUMMYFUNCTION("LET(
  s, UPPER(TRIM(T93)),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93" s="13"/>
      <c r="N93" s="10" t="str">
        <f t="shared" ref="N93:O93" si="92">V93</f>
        <v>Nico</v>
      </c>
      <c r="O93" s="10" t="str">
        <f t="shared" si="92"/>
        <v/>
      </c>
      <c r="P93" s="10"/>
      <c r="Q93" s="10"/>
      <c r="S93" s="14" t="b">
        <v>0</v>
      </c>
      <c r="T93" s="14" t="s">
        <v>348</v>
      </c>
      <c r="U93" s="14" t="s">
        <v>200</v>
      </c>
      <c r="V93" s="14" t="s">
        <v>206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</row>
    <row r="94">
      <c r="A94" s="1" t="s">
        <v>444</v>
      </c>
      <c r="B94" s="10" t="s">
        <v>445</v>
      </c>
      <c r="C94" s="11" t="str">
        <f>IFERROR(__xludf.DUMMYFUNCTION("IFS(
  REGEXMATCH(LOWER(TRIM(N94)),""nico""), ""us_001"",
  REGEXMATCH(LOWER(TRIM(N94)),""alfonso""), ""us_002"",
  REGEXMATCH(LOWER(TRIM(N94)),""patxi""), ""us_003"",
  REGEXMATCH(LOWER(TRIM(N94)),""martin""), ""us_004"",
  TRUE, ""us_999""
)"),"us_002")</f>
        <v>us_002</v>
      </c>
      <c r="D94" s="10" t="str">
        <f>IFERROR(__xludf.DUMMYFUNCTION("""COMPUTED_VALUE"""),"us_002")</f>
        <v>us_002</v>
      </c>
      <c r="E94" s="11" t="s">
        <v>196</v>
      </c>
      <c r="F94" s="11" t="str">
        <f>IFERROR(__xludf.DUMMYFUNCTION("LET(
  s, UPPER(TRIM(N94)),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94" s="1" t="s">
        <v>197</v>
      </c>
      <c r="H94" s="12" t="str">
        <f>IFERROR(__xludf.DUMMYFUNCTION("IFS(
  REGEXMATCH(LOWER(TRIM(U94)),""barcelona""), ""acc_139"",
  REGEXMATCH(LOWER(TRIM(U94)),""madrid""), ""acc_148"",
  REGEXMATCH(LOWER(TRIM(U94)),""zaragoza""), ""acc_149"",
  REGEXMATCH(LOWER(TRIM(U94)),""ibiza""), ""acc_140"",
  REGEXMATCH(LOWER(TRI"&amp;"M(U94)),""mallorca""), ""acc_140"",
  REGEXMATCH(LOWER(TRIM(U94)),""menorca""), ""acc_150"",
  TRUE, """"
)
"),"")</f>
        <v/>
      </c>
      <c r="I94" s="10" t="s">
        <v>446</v>
      </c>
      <c r="K94" s="1" t="s">
        <v>197</v>
      </c>
      <c r="L94" s="11" t="str">
        <f>IFERROR(__xludf.DUMMYFUNCTION("LET(
  s, UPPER(TRIM(T94)),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94" s="13"/>
      <c r="N94" s="10" t="str">
        <f t="shared" ref="N94:O94" si="93">V94</f>
        <v>Alfonso </v>
      </c>
      <c r="O94" s="10" t="str">
        <f t="shared" si="93"/>
        <v/>
      </c>
      <c r="P94" s="10"/>
      <c r="Q94" s="10"/>
      <c r="S94" s="16"/>
      <c r="T94" s="14" t="s">
        <v>436</v>
      </c>
      <c r="U94" s="14" t="s">
        <v>359</v>
      </c>
      <c r="V94" s="14" t="s">
        <v>201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</row>
    <row r="95">
      <c r="A95" s="1" t="s">
        <v>447</v>
      </c>
      <c r="B95" s="10" t="s">
        <v>448</v>
      </c>
      <c r="C95" s="11" t="str">
        <f>IFERROR(__xludf.DUMMYFUNCTION("IFS(
  REGEXMATCH(LOWER(TRIM(N95)),""nico""), ""us_001"",
  REGEXMATCH(LOWER(TRIM(N95)),""alfonso""), ""us_002"",
  REGEXMATCH(LOWER(TRIM(N95)),""patxi""), ""us_003"",
  REGEXMATCH(LOWER(TRIM(N95)),""martin""), ""us_004"",
  TRUE, ""us_999""
)"),"us_001")</f>
        <v>us_001</v>
      </c>
      <c r="D95" s="10" t="str">
        <f>IFERROR(__xludf.DUMMYFUNCTION("""COMPUTED_VALUE"""),"us_001")</f>
        <v>us_001</v>
      </c>
      <c r="E95" s="11" t="s">
        <v>196</v>
      </c>
      <c r="F95" s="11" t="str">
        <f>IFERROR(__xludf.DUMMYFUNCTION("LET(
  s, UPPER(TRIM(N95)),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95" s="1" t="s">
        <v>197</v>
      </c>
      <c r="H95" s="12" t="str">
        <f>IFERROR(__xludf.DUMMYFUNCTION("IFS(
  REGEXMATCH(LOWER(TRIM(U95)),""barcelona""), ""acc_139"",
  REGEXMATCH(LOWER(TRIM(U95)),""madrid""), ""acc_148"",
  REGEXMATCH(LOWER(TRIM(U95)),""zaragoza""), ""acc_149"",
  REGEXMATCH(LOWER(TRIM(U95)),""ibiza""), ""acc_140"",
  REGEXMATCH(LOWER(TRI"&amp;"M(U95)),""mallorca""), ""acc_140"",
  REGEXMATCH(LOWER(TRIM(U95)),""menorca""), ""acc_150"",
  TRUE, """"
)
"),"acc_148")</f>
        <v>acc_148</v>
      </c>
      <c r="I95" s="10" t="s">
        <v>449</v>
      </c>
      <c r="K95" s="1" t="s">
        <v>197</v>
      </c>
      <c r="L95" s="11" t="str">
        <f>IFERROR(__xludf.DUMMYFUNCTION("LET(
  s, UPPER(TRIM(T95)),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95" s="13"/>
      <c r="N95" s="10" t="str">
        <f t="shared" ref="N95:O95" si="94">V95</f>
        <v>Nico</v>
      </c>
      <c r="O95" s="10" t="str">
        <f t="shared" si="94"/>
        <v/>
      </c>
      <c r="P95" s="10"/>
      <c r="Q95" s="10"/>
      <c r="S95" s="14" t="b">
        <v>0</v>
      </c>
      <c r="T95" s="14" t="s">
        <v>436</v>
      </c>
      <c r="U95" s="14" t="s">
        <v>200</v>
      </c>
      <c r="V95" s="14" t="s">
        <v>206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</row>
    <row r="96">
      <c r="A96" s="1" t="s">
        <v>450</v>
      </c>
      <c r="B96" s="10" t="s">
        <v>451</v>
      </c>
      <c r="C96" s="11" t="str">
        <f>IFERROR(__xludf.DUMMYFUNCTION("IFS(
  REGEXMATCH(LOWER(TRIM(N96)),""nico""), ""us_001"",
  REGEXMATCH(LOWER(TRIM(N96)),""alfonso""), ""us_002"",
  REGEXMATCH(LOWER(TRIM(N96)),""patxi""), ""us_003"",
  REGEXMATCH(LOWER(TRIM(N96)),""martin""), ""us_004"",
  TRUE, ""us_999""
)"),"us_001")</f>
        <v>us_001</v>
      </c>
      <c r="D96" s="10" t="str">
        <f>IFERROR(__xludf.DUMMYFUNCTION("""COMPUTED_VALUE"""),"us_001")</f>
        <v>us_001</v>
      </c>
      <c r="E96" s="11" t="s">
        <v>196</v>
      </c>
      <c r="F96" s="11" t="str">
        <f>IFERROR(__xludf.DUMMYFUNCTION("LET(
  s, UPPER(TRIM(N96)),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96" s="1" t="s">
        <v>197</v>
      </c>
      <c r="H96" s="12" t="str">
        <f>IFERROR(__xludf.DUMMYFUNCTION("IFS(
  REGEXMATCH(LOWER(TRIM(U96)),""barcelona""), ""acc_139"",
  REGEXMATCH(LOWER(TRIM(U96)),""madrid""), ""acc_148"",
  REGEXMATCH(LOWER(TRIM(U96)),""zaragoza""), ""acc_149"",
  REGEXMATCH(LOWER(TRIM(U96)),""ibiza""), ""acc_140"",
  REGEXMATCH(LOWER(TRI"&amp;"M(U96)),""mallorca""), ""acc_140"",
  REGEXMATCH(LOWER(TRIM(U96)),""menorca""), ""acc_150"",
  TRUE, """"
)
"),"acc_148")</f>
        <v>acc_148</v>
      </c>
      <c r="I96" s="10" t="s">
        <v>452</v>
      </c>
      <c r="K96" s="1" t="s">
        <v>197</v>
      </c>
      <c r="L96" s="11" t="str">
        <f>IFERROR(__xludf.DUMMYFUNCTION("LET(
  s, UPPER(TRIM(T96)),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96" s="13"/>
      <c r="N96" s="10" t="str">
        <f t="shared" ref="N96:O96" si="95">V96</f>
        <v>Nico</v>
      </c>
      <c r="O96" s="10" t="str">
        <f t="shared" si="95"/>
        <v>6 cajas</v>
      </c>
      <c r="P96" s="10"/>
      <c r="Q96" s="10"/>
      <c r="S96" s="14" t="b">
        <v>0</v>
      </c>
      <c r="T96" s="14" t="s">
        <v>436</v>
      </c>
      <c r="U96" s="14" t="s">
        <v>200</v>
      </c>
      <c r="V96" s="14" t="s">
        <v>206</v>
      </c>
      <c r="W96" s="10" t="s">
        <v>453</v>
      </c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</row>
    <row r="97">
      <c r="A97" s="1" t="s">
        <v>454</v>
      </c>
      <c r="B97" s="10" t="s">
        <v>174</v>
      </c>
      <c r="C97" s="11" t="str">
        <f>IFERROR(__xludf.DUMMYFUNCTION("IFS(
  REGEXMATCH(LOWER(TRIM(N97)),""nico""), ""us_001"",
  REGEXMATCH(LOWER(TRIM(N97)),""alfonso""), ""us_002"",
  REGEXMATCH(LOWER(TRIM(N97)),""patxi""), ""us_003"",
  REGEXMATCH(LOWER(TRIM(N97)),""martin""), ""us_004"",
  TRUE, ""us_999""
)"),"us_001")</f>
        <v>us_001</v>
      </c>
      <c r="D97" s="10" t="str">
        <f>IFERROR(__xludf.DUMMYFUNCTION("""COMPUTED_VALUE"""),"us_001")</f>
        <v>us_001</v>
      </c>
      <c r="E97" s="11" t="s">
        <v>196</v>
      </c>
      <c r="F97" s="11" t="str">
        <f>IFERROR(__xludf.DUMMYFUNCTION("LET(
  s, UPPER(TRIM(N97)),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97" s="1" t="s">
        <v>197</v>
      </c>
      <c r="H97" s="12" t="str">
        <f>IFERROR(__xludf.DUMMYFUNCTION("IFS(
  REGEXMATCH(LOWER(TRIM(U97)),""barcelona""), ""acc_139"",
  REGEXMATCH(LOWER(TRIM(U97)),""madrid""), ""acc_148"",
  REGEXMATCH(LOWER(TRIM(U97)),""zaragoza""), ""acc_149"",
  REGEXMATCH(LOWER(TRIM(U97)),""ibiza""), ""acc_140"",
  REGEXMATCH(LOWER(TRI"&amp;"M(U97)),""mallorca""), ""acc_140"",
  REGEXMATCH(LOWER(TRIM(U97)),""menorca""), ""acc_150"",
  TRUE, """"
)
"),"acc_148")</f>
        <v>acc_148</v>
      </c>
      <c r="I97" s="10" t="s">
        <v>455</v>
      </c>
      <c r="K97" s="1" t="s">
        <v>197</v>
      </c>
      <c r="L97" s="11" t="str">
        <f>IFERROR(__xludf.DUMMYFUNCTION("LET(
  s, UPPER(TRIM(T97)),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M97" s="15">
        <v>45879.0</v>
      </c>
      <c r="N97" s="10" t="str">
        <f t="shared" ref="N97:O97" si="96">V97</f>
        <v>Nico</v>
      </c>
      <c r="O97" s="10" t="str">
        <f t="shared" si="96"/>
        <v>2 cajas (1+1)</v>
      </c>
      <c r="P97" s="10"/>
      <c r="Q97" s="10"/>
      <c r="S97" s="14" t="b">
        <v>0</v>
      </c>
      <c r="T97" s="14" t="s">
        <v>436</v>
      </c>
      <c r="U97" s="14" t="s">
        <v>200</v>
      </c>
      <c r="V97" s="14" t="s">
        <v>206</v>
      </c>
      <c r="W97" s="10" t="s">
        <v>456</v>
      </c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</row>
    <row r="98">
      <c r="A98" s="1" t="s">
        <v>457</v>
      </c>
      <c r="B98" s="10" t="s">
        <v>156</v>
      </c>
      <c r="C98" s="11" t="str">
        <f>IFERROR(__xludf.DUMMYFUNCTION("IFS(
  REGEXMATCH(LOWER(TRIM(N98)),""nico""), ""us_001"",
  REGEXMATCH(LOWER(TRIM(N98)),""alfonso""), ""us_002"",
  REGEXMATCH(LOWER(TRIM(N98)),""patxi""), ""us_003"",
  REGEXMATCH(LOWER(TRIM(N98)),""martin""), ""us_004"",
  TRUE, ""us_999""
)"),"us_002")</f>
        <v>us_002</v>
      </c>
      <c r="D98" s="10" t="str">
        <f>IFERROR(__xludf.DUMMYFUNCTION("""COMPUTED_VALUE"""),"us_002")</f>
        <v>us_002</v>
      </c>
      <c r="E98" s="11" t="s">
        <v>196</v>
      </c>
      <c r="F98" s="11" t="str">
        <f>IFERROR(__xludf.DUMMYFUNCTION("LET(
  s, UPPER(TRIM(N98)),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98" s="1" t="s">
        <v>197</v>
      </c>
      <c r="H98" s="12" t="str">
        <f>IFERROR(__xludf.DUMMYFUNCTION("IFS(
  REGEXMATCH(LOWER(TRIM(U98)),""barcelona""), ""acc_139"",
  REGEXMATCH(LOWER(TRIM(U98)),""madrid""), ""acc_148"",
  REGEXMATCH(LOWER(TRIM(U98)),""zaragoza""), ""acc_149"",
  REGEXMATCH(LOWER(TRIM(U98)),""ibiza""), ""acc_140"",
  REGEXMATCH(LOWER(TRI"&amp;"M(U98)),""mallorca""), ""acc_140"",
  REGEXMATCH(LOWER(TRIM(U98)),""menorca""), ""acc_150"",
  TRUE, """"
)
"),"acc_148")</f>
        <v>acc_148</v>
      </c>
      <c r="I98" s="10" t="s">
        <v>458</v>
      </c>
      <c r="K98" s="1" t="s">
        <v>197</v>
      </c>
      <c r="L98" s="11" t="str">
        <f>IFERROR(__xludf.DUMMYFUNCTION("LET(
  s, UPPER(TRIM(T98)),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98" s="13"/>
      <c r="N98" s="10" t="str">
        <f t="shared" ref="N98:O98" si="97">V98</f>
        <v>Alfonso </v>
      </c>
      <c r="O98" s="10" t="str">
        <f t="shared" si="97"/>
        <v>4 cajas</v>
      </c>
      <c r="P98" s="10"/>
      <c r="Q98" s="10"/>
      <c r="S98" s="14" t="b">
        <v>0</v>
      </c>
      <c r="T98" s="14" t="s">
        <v>199</v>
      </c>
      <c r="U98" s="14" t="s">
        <v>200</v>
      </c>
      <c r="V98" s="14" t="s">
        <v>201</v>
      </c>
      <c r="W98" s="10" t="s">
        <v>275</v>
      </c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</row>
    <row r="99">
      <c r="A99" s="1" t="s">
        <v>459</v>
      </c>
      <c r="B99" s="10" t="s">
        <v>460</v>
      </c>
      <c r="C99" s="11" t="str">
        <f>IFERROR(__xludf.DUMMYFUNCTION("IFS(
  REGEXMATCH(LOWER(TRIM(N99)),""nico""), ""us_001"",
  REGEXMATCH(LOWER(TRIM(N99)),""alfonso""), ""us_002"",
  REGEXMATCH(LOWER(TRIM(N99)),""patxi""), ""us_003"",
  REGEXMATCH(LOWER(TRIM(N99)),""martin""), ""us_004"",
  TRUE, ""us_999""
)"),"us_002")</f>
        <v>us_002</v>
      </c>
      <c r="D99" s="10" t="str">
        <f>IFERROR(__xludf.DUMMYFUNCTION("""COMPUTED_VALUE"""),"us_002")</f>
        <v>us_002</v>
      </c>
      <c r="E99" s="11" t="s">
        <v>196</v>
      </c>
      <c r="F99" s="11" t="str">
        <f>IFERROR(__xludf.DUMMYFUNCTION("LET(
  s, UPPER(TRIM(N99)),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"),"SEGUIMIENTO")</f>
        <v>SEGUIMIENTO</v>
      </c>
      <c r="G99" s="1" t="s">
        <v>197</v>
      </c>
      <c r="H99" s="12" t="str">
        <f>IFERROR(__xludf.DUMMYFUNCTION("IFS(
  REGEXMATCH(LOWER(TRIM(U99)),""barcelona""), ""acc_139"",
  REGEXMATCH(LOWER(TRIM(U99)),""madrid""), ""acc_148"",
  REGEXMATCH(LOWER(TRIM(U99)),""zaragoza""), ""acc_149"",
  REGEXMATCH(LOWER(TRIM(U99)),""ibiza""), ""acc_140"",
  REGEXMATCH(LOWER(TRI"&amp;"M(U99)),""mallorca""), ""acc_140"",
  REGEXMATCH(LOWER(TRIM(U99)),""menorca""), ""acc_150"",
  TRUE, """"
)
"),"acc_148")</f>
        <v>acc_148</v>
      </c>
      <c r="I99" s="10" t="s">
        <v>461</v>
      </c>
      <c r="K99" s="1" t="s">
        <v>197</v>
      </c>
      <c r="L99" s="11" t="str">
        <f>IFERROR(__xludf.DUMMYFUNCTION("LET(
  s, UPPER(TRIM(T99)),
  IF(REGEXMATCH(s,""CLOSED.*WON""), ""ACTIVA"",
  IF(REGEXMATCH(s,""CLOSED.*LOST""), ""FALLIDA"",
  IF(REGEXMATCH(s,""CONTACT.*NEXT.*SEASON""), ""POTENCIAL"",
  IF(REGEXMATCH(s,""\bLEAD\b""), ""LEAD"",
  IF(REGEXMATCH(s,""INTER"&amp;"EST|POTENTIAL""), ""SEGUIMIENTO"",
  ""SEGUIMIENTO"")))))
)
"),"ACTIVA")</f>
        <v>ACTIVA</v>
      </c>
      <c r="M99" s="13"/>
      <c r="N99" s="10" t="str">
        <f t="shared" ref="N99:O99" si="98">V99</f>
        <v>Alfonso </v>
      </c>
      <c r="O99" s="10" t="str">
        <f t="shared" si="98"/>
        <v/>
      </c>
      <c r="P99" s="10"/>
      <c r="Q99" s="10"/>
      <c r="S99" s="14" t="b">
        <v>0</v>
      </c>
      <c r="T99" s="14" t="s">
        <v>199</v>
      </c>
      <c r="U99" s="14" t="s">
        <v>200</v>
      </c>
      <c r="V99" s="14" t="s">
        <v>201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</row>
    <row r="100">
      <c r="A100" s="1" t="s">
        <v>462</v>
      </c>
      <c r="B100" s="10" t="s">
        <v>463</v>
      </c>
      <c r="C100" s="11" t="str">
        <f>IFERROR(__xludf.DUMMYFUNCTION("IFS(
  REGEXMATCH(LOWER(TRIM(N100)),""nico""), ""us_001"",
  REGEXMATCH(LOWER(TRIM(N100)),""alfonso""), ""us_002"",
  REGEXMATCH(LOWER(TRIM(N100)),""patxi""), ""us_003"",
  REGEXMATCH(LOWER(TRIM(N100)),""martin""), ""us_004"",
  TRUE, ""us_999""
)"),"us_003")</f>
        <v>us_003</v>
      </c>
      <c r="D100" s="10" t="str">
        <f>IFERROR(__xludf.DUMMYFUNCTION("""COMPUTED_VALUE"""),"us_003")</f>
        <v>us_003</v>
      </c>
      <c r="E100" s="11" t="s">
        <v>196</v>
      </c>
      <c r="F100" s="11" t="str">
        <f>IFERROR(__xludf.DUMMYFUNCTION("LET(
  s, UPPER(TRIM(N100)),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00" s="1" t="s">
        <v>197</v>
      </c>
      <c r="H100" s="12" t="str">
        <f>IFERROR(__xludf.DUMMYFUNCTION("IFS(
  REGEXMATCH(LOWER(TRIM(U100)),""barcelona""), ""acc_139"",
  REGEXMATCH(LOWER(TRIM(U100)),""madrid""), ""acc_148"",
  REGEXMATCH(LOWER(TRIM(U100)),""zaragoza""), ""acc_149"",
  REGEXMATCH(LOWER(TRIM(U100)),""ibiza""), ""acc_140"",
  REGEXMATCH(LOWER"&amp;"(TRIM(U100)),""mallorca""), ""acc_140"",
  REGEXMATCH(LOWER(TRIM(U100)),""menorca""), ""acc_150"",
  TRUE, """"
)
"),"acc_139")</f>
        <v>acc_139</v>
      </c>
      <c r="I100" s="10" t="s">
        <v>464</v>
      </c>
      <c r="K100" s="1" t="s">
        <v>197</v>
      </c>
      <c r="L100" s="11" t="str">
        <f>IFERROR(__xludf.DUMMYFUNCTION("LET(
  s, UPPER(TRIM(T100)),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00" s="13"/>
      <c r="N100" s="10" t="str">
        <f t="shared" ref="N100:O100" si="99">V100</f>
        <v>Patxi </v>
      </c>
      <c r="O100" s="10" t="str">
        <f t="shared" si="99"/>
        <v/>
      </c>
      <c r="P100" s="10"/>
      <c r="Q100" s="10"/>
      <c r="S100" s="16"/>
      <c r="T100" s="14" t="s">
        <v>348</v>
      </c>
      <c r="U100" s="14" t="s">
        <v>345</v>
      </c>
      <c r="V100" s="14" t="s">
        <v>222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</row>
    <row r="101">
      <c r="A101" s="1" t="s">
        <v>465</v>
      </c>
      <c r="B101" s="10" t="s">
        <v>466</v>
      </c>
      <c r="C101" s="11" t="str">
        <f>IFERROR(__xludf.DUMMYFUNCTION("IFS(
  REGEXMATCH(LOWER(TRIM(N101)),""nico""), ""us_001"",
  REGEXMATCH(LOWER(TRIM(N101)),""alfonso""), ""us_002"",
  REGEXMATCH(LOWER(TRIM(N101)),""patxi""), ""us_003"",
  REGEXMATCH(LOWER(TRIM(N101)),""martin""), ""us_004"",
  TRUE, ""us_999""
)"),"us_003")</f>
        <v>us_003</v>
      </c>
      <c r="D101" s="10" t="str">
        <f>IFERROR(__xludf.DUMMYFUNCTION("""COMPUTED_VALUE"""),"us_003")</f>
        <v>us_003</v>
      </c>
      <c r="E101" s="11" t="s">
        <v>196</v>
      </c>
      <c r="F101" s="11" t="str">
        <f>IFERROR(__xludf.DUMMYFUNCTION("LET(
  s, UPPER(TRIM(N101)),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01" s="1" t="s">
        <v>197</v>
      </c>
      <c r="H101" s="12" t="str">
        <f>IFERROR(__xludf.DUMMYFUNCTION("IFS(
  REGEXMATCH(LOWER(TRIM(U101)),""barcelona""), ""acc_139"",
  REGEXMATCH(LOWER(TRIM(U101)),""madrid""), ""acc_148"",
  REGEXMATCH(LOWER(TRIM(U101)),""zaragoza""), ""acc_149"",
  REGEXMATCH(LOWER(TRIM(U101)),""ibiza""), ""acc_140"",
  REGEXMATCH(LOWER"&amp;"(TRIM(U101)),""mallorca""), ""acc_140"",
  REGEXMATCH(LOWER(TRIM(U101)),""menorca""), ""acc_150"",
  TRUE, """"
)
"),"acc_139")</f>
        <v>acc_139</v>
      </c>
      <c r="I101" s="10" t="s">
        <v>467</v>
      </c>
      <c r="K101" s="1" t="s">
        <v>197</v>
      </c>
      <c r="L101" s="11" t="str">
        <f>IFERROR(__xludf.DUMMYFUNCTION("LET(
  s, UPPER(TRIM(T101)),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01" s="13"/>
      <c r="N101" s="10" t="str">
        <f t="shared" ref="N101:O101" si="100">V101</f>
        <v>Patxi </v>
      </c>
      <c r="O101" s="10" t="str">
        <f t="shared" si="100"/>
        <v/>
      </c>
      <c r="P101" s="10"/>
      <c r="Q101" s="10"/>
      <c r="S101" s="16"/>
      <c r="T101" s="14" t="s">
        <v>296</v>
      </c>
      <c r="U101" s="14" t="s">
        <v>345</v>
      </c>
      <c r="V101" s="14" t="s">
        <v>222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</row>
    <row r="102">
      <c r="A102" s="1" t="s">
        <v>468</v>
      </c>
      <c r="B102" s="10" t="s">
        <v>469</v>
      </c>
      <c r="C102" s="11" t="str">
        <f>IFERROR(__xludf.DUMMYFUNCTION("IFS(
  REGEXMATCH(LOWER(TRIM(N102)),""nico""), ""us_001"",
  REGEXMATCH(LOWER(TRIM(N102)),""alfonso""), ""us_002"",
  REGEXMATCH(LOWER(TRIM(N102)),""patxi""), ""us_003"",
  REGEXMATCH(LOWER(TRIM(N102)),""martin""), ""us_004"",
  TRUE, ""us_999""
)"),"us_002")</f>
        <v>us_002</v>
      </c>
      <c r="D102" s="10" t="str">
        <f>IFERROR(__xludf.DUMMYFUNCTION("""COMPUTED_VALUE"""),"us_002")</f>
        <v>us_002</v>
      </c>
      <c r="E102" s="11" t="s">
        <v>196</v>
      </c>
      <c r="F102" s="11" t="str">
        <f>IFERROR(__xludf.DUMMYFUNCTION("LET(
  s, UPPER(TRIM(N102)),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02" s="1" t="s">
        <v>197</v>
      </c>
      <c r="H102" s="12" t="str">
        <f>IFERROR(__xludf.DUMMYFUNCTION("IFS(
  REGEXMATCH(LOWER(TRIM(U102)),""barcelona""), ""acc_139"",
  REGEXMATCH(LOWER(TRIM(U102)),""madrid""), ""acc_148"",
  REGEXMATCH(LOWER(TRIM(U102)),""zaragoza""), ""acc_149"",
  REGEXMATCH(LOWER(TRIM(U102)),""ibiza""), ""acc_140"",
  REGEXMATCH(LOWER"&amp;"(TRIM(U102)),""mallorca""), ""acc_140"",
  REGEXMATCH(LOWER(TRIM(U102)),""menorca""), ""acc_150"",
  TRUE, """"
)
"),"acc_148")</f>
        <v>acc_148</v>
      </c>
      <c r="I102" s="10"/>
      <c r="K102" s="1" t="s">
        <v>197</v>
      </c>
      <c r="L102" s="11" t="str">
        <f>IFERROR(__xludf.DUMMYFUNCTION("LET(
  s, UPPER(TRIM(T102)),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02" s="13"/>
      <c r="N102" s="10" t="str">
        <f t="shared" ref="N102:O102" si="101">V102</f>
        <v>Alfonso </v>
      </c>
      <c r="O102" s="10" t="str">
        <f t="shared" si="101"/>
        <v/>
      </c>
      <c r="P102" s="10"/>
      <c r="Q102" s="10"/>
      <c r="S102" s="14" t="b">
        <v>0</v>
      </c>
      <c r="T102" s="14" t="s">
        <v>199</v>
      </c>
      <c r="U102" s="14" t="s">
        <v>200</v>
      </c>
      <c r="V102" s="14" t="s">
        <v>201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</row>
    <row r="103">
      <c r="A103" s="1" t="s">
        <v>470</v>
      </c>
      <c r="B103" s="10" t="s">
        <v>471</v>
      </c>
      <c r="C103" s="11" t="str">
        <f>IFERROR(__xludf.DUMMYFUNCTION("IFS(
  REGEXMATCH(LOWER(TRIM(N103)),""nico""), ""us_001"",
  REGEXMATCH(LOWER(TRIM(N103)),""alfonso""), ""us_002"",
  REGEXMATCH(LOWER(TRIM(N103)),""patxi""), ""us_003"",
  REGEXMATCH(LOWER(TRIM(N103)),""martin""), ""us_004"",
  TRUE, ""us_999""
)"),"us_003")</f>
        <v>us_003</v>
      </c>
      <c r="D103" s="10" t="str">
        <f>IFERROR(__xludf.DUMMYFUNCTION("""COMPUTED_VALUE"""),"us_003")</f>
        <v>us_003</v>
      </c>
      <c r="E103" s="11" t="s">
        <v>196</v>
      </c>
      <c r="F103" s="11" t="str">
        <f>IFERROR(__xludf.DUMMYFUNCTION("LET(
  s, UPPER(TRIM(N103)),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03" s="1" t="s">
        <v>197</v>
      </c>
      <c r="H103" s="12" t="str">
        <f>IFERROR(__xludf.DUMMYFUNCTION("IFS(
  REGEXMATCH(LOWER(TRIM(U103)),""barcelona""), ""acc_139"",
  REGEXMATCH(LOWER(TRIM(U103)),""madrid""), ""acc_148"",
  REGEXMATCH(LOWER(TRIM(U103)),""zaragoza""), ""acc_149"",
  REGEXMATCH(LOWER(TRIM(U103)),""ibiza""), ""acc_140"",
  REGEXMATCH(LOWER"&amp;"(TRIM(U103)),""mallorca""), ""acc_140"",
  REGEXMATCH(LOWER(TRIM(U103)),""menorca""), ""acc_150"",
  TRUE, """"
)
"),"acc_139")</f>
        <v>acc_139</v>
      </c>
      <c r="I103" s="10" t="s">
        <v>472</v>
      </c>
      <c r="K103" s="1" t="s">
        <v>197</v>
      </c>
      <c r="L103" s="11" t="str">
        <f>IFERROR(__xludf.DUMMYFUNCTION("LET(
  s, UPPER(TRIM(T103)),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03" s="13"/>
      <c r="N103" s="10" t="str">
        <f t="shared" ref="N103:O103" si="102">V103</f>
        <v>Patxi </v>
      </c>
      <c r="O103" s="10" t="str">
        <f t="shared" si="102"/>
        <v/>
      </c>
      <c r="P103" s="10"/>
      <c r="Q103" s="10"/>
      <c r="S103" s="16"/>
      <c r="T103" s="14" t="s">
        <v>348</v>
      </c>
      <c r="U103" s="14" t="s">
        <v>345</v>
      </c>
      <c r="V103" s="14" t="s">
        <v>222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</row>
    <row r="104">
      <c r="A104" s="1" t="s">
        <v>473</v>
      </c>
      <c r="B104" s="10" t="s">
        <v>474</v>
      </c>
      <c r="C104" s="11" t="str">
        <f>IFERROR(__xludf.DUMMYFUNCTION("IFS(
  REGEXMATCH(LOWER(TRIM(N104)),""nico""), ""us_001"",
  REGEXMATCH(LOWER(TRIM(N104)),""alfonso""), ""us_002"",
  REGEXMATCH(LOWER(TRIM(N104)),""patxi""), ""us_003"",
  REGEXMATCH(LOWER(TRIM(N104)),""martin""), ""us_004"",
  TRUE, ""us_999""
)"),"us_003")</f>
        <v>us_003</v>
      </c>
      <c r="D104" s="10" t="str">
        <f>IFERROR(__xludf.DUMMYFUNCTION("""COMPUTED_VALUE"""),"us_003")</f>
        <v>us_003</v>
      </c>
      <c r="E104" s="11" t="s">
        <v>196</v>
      </c>
      <c r="F104" s="11" t="str">
        <f>IFERROR(__xludf.DUMMYFUNCTION("LET(
  s, UPPER(TRIM(N104)),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04" s="1" t="s">
        <v>197</v>
      </c>
      <c r="H104" s="12" t="str">
        <f>IFERROR(__xludf.DUMMYFUNCTION("IFS(
  REGEXMATCH(LOWER(TRIM(U104)),""barcelona""), ""acc_139"",
  REGEXMATCH(LOWER(TRIM(U104)),""madrid""), ""acc_148"",
  REGEXMATCH(LOWER(TRIM(U104)),""zaragoza""), ""acc_149"",
  REGEXMATCH(LOWER(TRIM(U104)),""ibiza""), ""acc_140"",
  REGEXMATCH(LOWER"&amp;"(TRIM(U104)),""mallorca""), ""acc_140"",
  REGEXMATCH(LOWER(TRIM(U104)),""menorca""), ""acc_150"",
  TRUE, """"
)
"),"acc_139")</f>
        <v>acc_139</v>
      </c>
      <c r="I104" s="10"/>
      <c r="K104" s="1" t="s">
        <v>197</v>
      </c>
      <c r="L104" s="11" t="str">
        <f>IFERROR(__xludf.DUMMYFUNCTION("LET(
  s, UPPER(TRIM(T104)),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04" s="13"/>
      <c r="N104" s="10" t="str">
        <f t="shared" ref="N104:O104" si="103">V104</f>
        <v>Patxi </v>
      </c>
      <c r="O104" s="10" t="str">
        <f t="shared" si="103"/>
        <v/>
      </c>
      <c r="P104" s="10"/>
      <c r="Q104" s="10"/>
      <c r="S104" s="16"/>
      <c r="T104" s="14" t="s">
        <v>348</v>
      </c>
      <c r="U104" s="14" t="s">
        <v>345</v>
      </c>
      <c r="V104" s="14" t="s">
        <v>222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</row>
    <row r="105">
      <c r="A105" s="1" t="s">
        <v>475</v>
      </c>
      <c r="B105" s="10" t="s">
        <v>476</v>
      </c>
      <c r="C105" s="11" t="str">
        <f>IFERROR(__xludf.DUMMYFUNCTION("IFS(
  REGEXMATCH(LOWER(TRIM(N105)),""nico""), ""us_001"",
  REGEXMATCH(LOWER(TRIM(N105)),""alfonso""), ""us_002"",
  REGEXMATCH(LOWER(TRIM(N105)),""patxi""), ""us_003"",
  REGEXMATCH(LOWER(TRIM(N105)),""martin""), ""us_004"",
  TRUE, ""us_999""
)"),"us_003")</f>
        <v>us_003</v>
      </c>
      <c r="D105" s="10" t="str">
        <f>IFERROR(__xludf.DUMMYFUNCTION("""COMPUTED_VALUE"""),"us_003")</f>
        <v>us_003</v>
      </c>
      <c r="E105" s="11" t="s">
        <v>196</v>
      </c>
      <c r="F105" s="11" t="str">
        <f>IFERROR(__xludf.DUMMYFUNCTION("LET(
  s, UPPER(TRIM(N105)),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05" s="1" t="s">
        <v>197</v>
      </c>
      <c r="H105" s="12" t="str">
        <f>IFERROR(__xludf.DUMMYFUNCTION("IFS(
  REGEXMATCH(LOWER(TRIM(U105)),""barcelona""), ""acc_139"",
  REGEXMATCH(LOWER(TRIM(U105)),""madrid""), ""acc_148"",
  REGEXMATCH(LOWER(TRIM(U105)),""zaragoza""), ""acc_149"",
  REGEXMATCH(LOWER(TRIM(U105)),""ibiza""), ""acc_140"",
  REGEXMATCH(LOWER"&amp;"(TRIM(U105)),""mallorca""), ""acc_140"",
  REGEXMATCH(LOWER(TRIM(U105)),""menorca""), ""acc_150"",
  TRUE, """"
)
"),"acc_139")</f>
        <v>acc_139</v>
      </c>
      <c r="I105" s="10" t="s">
        <v>477</v>
      </c>
      <c r="K105" s="1" t="s">
        <v>197</v>
      </c>
      <c r="L105" s="11" t="str">
        <f>IFERROR(__xludf.DUMMYFUNCTION("LET(
  s, UPPER(TRIM(T105)),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05" s="13"/>
      <c r="N105" s="10" t="str">
        <f t="shared" ref="N105:O105" si="104">V105</f>
        <v>Patxi </v>
      </c>
      <c r="O105" s="10" t="str">
        <f t="shared" si="104"/>
        <v/>
      </c>
      <c r="P105" s="10"/>
      <c r="Q105" s="10"/>
      <c r="S105" s="16"/>
      <c r="T105" s="14" t="s">
        <v>348</v>
      </c>
      <c r="U105" s="14" t="s">
        <v>345</v>
      </c>
      <c r="V105" s="14" t="s">
        <v>222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</row>
    <row r="106">
      <c r="A106" s="1" t="s">
        <v>478</v>
      </c>
      <c r="B106" s="10" t="s">
        <v>479</v>
      </c>
      <c r="C106" s="11" t="str">
        <f>IFERROR(__xludf.DUMMYFUNCTION("IFS(
  REGEXMATCH(LOWER(TRIM(N106)),""nico""), ""us_001"",
  REGEXMATCH(LOWER(TRIM(N106)),""alfonso""), ""us_002"",
  REGEXMATCH(LOWER(TRIM(N106)),""patxi""), ""us_003"",
  REGEXMATCH(LOWER(TRIM(N106)),""martin""), ""us_004"",
  TRUE, ""us_999""
)"),"us_003")</f>
        <v>us_003</v>
      </c>
      <c r="D106" s="10" t="str">
        <f>IFERROR(__xludf.DUMMYFUNCTION("""COMPUTED_VALUE"""),"us_003")</f>
        <v>us_003</v>
      </c>
      <c r="E106" s="11" t="s">
        <v>196</v>
      </c>
      <c r="F106" s="11" t="str">
        <f>IFERROR(__xludf.DUMMYFUNCTION("LET(
  s, UPPER(TRIM(N106)),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06" s="1" t="s">
        <v>197</v>
      </c>
      <c r="H106" s="12" t="str">
        <f>IFERROR(__xludf.DUMMYFUNCTION("IFS(
  REGEXMATCH(LOWER(TRIM(U106)),""barcelona""), ""acc_139"",
  REGEXMATCH(LOWER(TRIM(U106)),""madrid""), ""acc_148"",
  REGEXMATCH(LOWER(TRIM(U106)),""zaragoza""), ""acc_149"",
  REGEXMATCH(LOWER(TRIM(U106)),""ibiza""), ""acc_140"",
  REGEXMATCH(LOWER"&amp;"(TRIM(U106)),""mallorca""), ""acc_140"",
  REGEXMATCH(LOWER(TRIM(U106)),""menorca""), ""acc_150"",
  TRUE, """"
)
"),"acc_139")</f>
        <v>acc_139</v>
      </c>
      <c r="I106" s="10" t="s">
        <v>480</v>
      </c>
      <c r="K106" s="1" t="s">
        <v>197</v>
      </c>
      <c r="L106" s="11" t="str">
        <f>IFERROR(__xludf.DUMMYFUNCTION("LET(
  s, UPPER(TRIM(T106)),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06" s="13"/>
      <c r="N106" s="10" t="str">
        <f t="shared" ref="N106:O106" si="105">V106</f>
        <v>Patxi </v>
      </c>
      <c r="O106" s="10" t="str">
        <f t="shared" si="105"/>
        <v/>
      </c>
      <c r="P106" s="10"/>
      <c r="Q106" s="10"/>
      <c r="S106" s="16"/>
      <c r="T106" s="14" t="s">
        <v>348</v>
      </c>
      <c r="U106" s="14" t="s">
        <v>345</v>
      </c>
      <c r="V106" s="14" t="s">
        <v>222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</row>
    <row r="107">
      <c r="A107" s="1" t="s">
        <v>481</v>
      </c>
      <c r="B107" s="10" t="s">
        <v>482</v>
      </c>
      <c r="C107" s="11" t="str">
        <f>IFERROR(__xludf.DUMMYFUNCTION("IFS(
  REGEXMATCH(LOWER(TRIM(N107)),""nico""), ""us_001"",
  REGEXMATCH(LOWER(TRIM(N107)),""alfonso""), ""us_002"",
  REGEXMATCH(LOWER(TRIM(N107)),""patxi""), ""us_003"",
  REGEXMATCH(LOWER(TRIM(N107)),""martin""), ""us_004"",
  TRUE, ""us_999""
)"),"us_003")</f>
        <v>us_003</v>
      </c>
      <c r="D107" s="10" t="str">
        <f>IFERROR(__xludf.DUMMYFUNCTION("""COMPUTED_VALUE"""),"us_003")</f>
        <v>us_003</v>
      </c>
      <c r="E107" s="11" t="s">
        <v>196</v>
      </c>
      <c r="F107" s="11" t="str">
        <f>IFERROR(__xludf.DUMMYFUNCTION("LET(
  s, UPPER(TRIM(N107)),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07" s="1" t="s">
        <v>197</v>
      </c>
      <c r="H107" s="12" t="str">
        <f>IFERROR(__xludf.DUMMYFUNCTION("IFS(
  REGEXMATCH(LOWER(TRIM(U107)),""barcelona""), ""acc_139"",
  REGEXMATCH(LOWER(TRIM(U107)),""madrid""), ""acc_148"",
  REGEXMATCH(LOWER(TRIM(U107)),""zaragoza""), ""acc_149"",
  REGEXMATCH(LOWER(TRIM(U107)),""ibiza""), ""acc_140"",
  REGEXMATCH(LOWER"&amp;"(TRIM(U107)),""mallorca""), ""acc_140"",
  REGEXMATCH(LOWER(TRIM(U107)),""menorca""), ""acc_150"",
  TRUE, """"
)
"),"acc_139")</f>
        <v>acc_139</v>
      </c>
      <c r="I107" s="10"/>
      <c r="K107" s="1" t="s">
        <v>197</v>
      </c>
      <c r="L107" s="11" t="str">
        <f>IFERROR(__xludf.DUMMYFUNCTION("LET(
  s, UPPER(TRIM(T107)),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07" s="13"/>
      <c r="N107" s="10" t="str">
        <f t="shared" ref="N107:O107" si="106">V107</f>
        <v>Patxi </v>
      </c>
      <c r="O107" s="10" t="str">
        <f t="shared" si="106"/>
        <v/>
      </c>
      <c r="P107" s="10"/>
      <c r="Q107" s="10"/>
      <c r="S107" s="16"/>
      <c r="T107" s="14" t="s">
        <v>296</v>
      </c>
      <c r="U107" s="14" t="s">
        <v>345</v>
      </c>
      <c r="V107" s="14" t="s">
        <v>222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</row>
    <row r="108">
      <c r="A108" s="1" t="s">
        <v>483</v>
      </c>
      <c r="B108" s="10" t="s">
        <v>484</v>
      </c>
      <c r="C108" s="11" t="str">
        <f>IFERROR(__xludf.DUMMYFUNCTION("IFS(
  REGEXMATCH(LOWER(TRIM(N108)),""nico""), ""us_001"",
  REGEXMATCH(LOWER(TRIM(N108)),""alfonso""), ""us_002"",
  REGEXMATCH(LOWER(TRIM(N108)),""patxi""), ""us_003"",
  REGEXMATCH(LOWER(TRIM(N108)),""martin""), ""us_004"",
  TRUE, ""us_999""
)"),"us_003")</f>
        <v>us_003</v>
      </c>
      <c r="D108" s="10" t="str">
        <f>IFERROR(__xludf.DUMMYFUNCTION("""COMPUTED_VALUE"""),"us_003")</f>
        <v>us_003</v>
      </c>
      <c r="E108" s="11" t="s">
        <v>196</v>
      </c>
      <c r="F108" s="11" t="str">
        <f>IFERROR(__xludf.DUMMYFUNCTION("LET(
  s, UPPER(TRIM(N108)),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08" s="1" t="s">
        <v>197</v>
      </c>
      <c r="H108" s="12" t="str">
        <f>IFERROR(__xludf.DUMMYFUNCTION("IFS(
  REGEXMATCH(LOWER(TRIM(U108)),""barcelona""), ""acc_139"",
  REGEXMATCH(LOWER(TRIM(U108)),""madrid""), ""acc_148"",
  REGEXMATCH(LOWER(TRIM(U108)),""zaragoza""), ""acc_149"",
  REGEXMATCH(LOWER(TRIM(U108)),""ibiza""), ""acc_140"",
  REGEXMATCH(LOWER"&amp;"(TRIM(U108)),""mallorca""), ""acc_140"",
  REGEXMATCH(LOWER(TRIM(U108)),""menorca""), ""acc_150"",
  TRUE, """"
)
"),"acc_139")</f>
        <v>acc_139</v>
      </c>
      <c r="I108" s="10" t="s">
        <v>485</v>
      </c>
      <c r="K108" s="1" t="s">
        <v>197</v>
      </c>
      <c r="L108" s="11" t="str">
        <f>IFERROR(__xludf.DUMMYFUNCTION("LET(
  s, UPPER(TRIM(T108)),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"),"POTENCIAL")</f>
        <v>POTENCIAL</v>
      </c>
      <c r="M108" s="13"/>
      <c r="N108" s="10" t="str">
        <f t="shared" ref="N108:O108" si="107">V108</f>
        <v>Patxi </v>
      </c>
      <c r="O108" s="10" t="str">
        <f t="shared" si="107"/>
        <v/>
      </c>
      <c r="P108" s="10"/>
      <c r="Q108" s="10"/>
      <c r="S108" s="16"/>
      <c r="T108" s="14" t="s">
        <v>293</v>
      </c>
      <c r="U108" s="14" t="s">
        <v>345</v>
      </c>
      <c r="V108" s="14" t="s">
        <v>222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</row>
    <row r="109">
      <c r="A109" s="1" t="s">
        <v>486</v>
      </c>
      <c r="B109" s="10" t="s">
        <v>487</v>
      </c>
      <c r="C109" s="11" t="str">
        <f>IFERROR(__xludf.DUMMYFUNCTION("IFS(
  REGEXMATCH(LOWER(TRIM(N109)),""nico""), ""us_001"",
  REGEXMATCH(LOWER(TRIM(N109)),""alfonso""), ""us_002"",
  REGEXMATCH(LOWER(TRIM(N109)),""patxi""), ""us_003"",
  REGEXMATCH(LOWER(TRIM(N109)),""martin""), ""us_004"",
  TRUE, ""us_999""
)"),"us_003")</f>
        <v>us_003</v>
      </c>
      <c r="D109" s="10" t="str">
        <f>IFERROR(__xludf.DUMMYFUNCTION("""COMPUTED_VALUE"""),"us_003")</f>
        <v>us_003</v>
      </c>
      <c r="E109" s="11" t="s">
        <v>196</v>
      </c>
      <c r="F109" s="11" t="str">
        <f>IFERROR(__xludf.DUMMYFUNCTION("LET(
  s, UPPER(TRIM(N109)),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09" s="1" t="s">
        <v>197</v>
      </c>
      <c r="H109" s="12" t="str">
        <f>IFERROR(__xludf.DUMMYFUNCTION("IFS(
  REGEXMATCH(LOWER(TRIM(U109)),""barcelona""), ""acc_139"",
  REGEXMATCH(LOWER(TRIM(U109)),""madrid""), ""acc_148"",
  REGEXMATCH(LOWER(TRIM(U109)),""zaragoza""), ""acc_149"",
  REGEXMATCH(LOWER(TRIM(U109)),""ibiza""), ""acc_140"",
  REGEXMATCH(LOWER"&amp;"(TRIM(U109)),""mallorca""), ""acc_140"",
  REGEXMATCH(LOWER(TRIM(U109)),""menorca""), ""acc_150"",
  TRUE, """"
)
"),"acc_139")</f>
        <v>acc_139</v>
      </c>
      <c r="I109" s="10" t="s">
        <v>488</v>
      </c>
      <c r="K109" s="1" t="s">
        <v>197</v>
      </c>
      <c r="L109" s="11" t="str">
        <f>IFERROR(__xludf.DUMMYFUNCTION("LET(
  s, UPPER(TRIM(T109)),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"),"POTENCIAL")</f>
        <v>POTENCIAL</v>
      </c>
      <c r="M109" s="13"/>
      <c r="N109" s="10" t="str">
        <f t="shared" ref="N109:O109" si="108">V109</f>
        <v>Patxi </v>
      </c>
      <c r="O109" s="10" t="str">
        <f t="shared" si="108"/>
        <v/>
      </c>
      <c r="P109" s="10"/>
      <c r="Q109" s="10"/>
      <c r="S109" s="16"/>
      <c r="T109" s="14" t="s">
        <v>293</v>
      </c>
      <c r="U109" s="14" t="s">
        <v>345</v>
      </c>
      <c r="V109" s="14" t="s">
        <v>222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</row>
    <row r="110">
      <c r="A110" s="1" t="s">
        <v>489</v>
      </c>
      <c r="B110" s="10" t="s">
        <v>490</v>
      </c>
      <c r="C110" s="11" t="str">
        <f>IFERROR(__xludf.DUMMYFUNCTION("IFS(
  REGEXMATCH(LOWER(TRIM(N110)),""nico""), ""us_001"",
  REGEXMATCH(LOWER(TRIM(N110)),""alfonso""), ""us_002"",
  REGEXMATCH(LOWER(TRIM(N110)),""patxi""), ""us_003"",
  REGEXMATCH(LOWER(TRIM(N110)),""martin""), ""us_004"",
  TRUE, ""us_999""
)"),"us_003")</f>
        <v>us_003</v>
      </c>
      <c r="D110" s="10" t="str">
        <f>IFERROR(__xludf.DUMMYFUNCTION("""COMPUTED_VALUE"""),"us_003")</f>
        <v>us_003</v>
      </c>
      <c r="E110" s="11" t="s">
        <v>196</v>
      </c>
      <c r="F110" s="11" t="str">
        <f>IFERROR(__xludf.DUMMYFUNCTION("LET(
  s, UPPER(TRIM(N110)),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10" s="1" t="s">
        <v>197</v>
      </c>
      <c r="H110" s="12" t="str">
        <f>IFERROR(__xludf.DUMMYFUNCTION("IFS(
  REGEXMATCH(LOWER(TRIM(U110)),""barcelona""), ""acc_139"",
  REGEXMATCH(LOWER(TRIM(U110)),""madrid""), ""acc_148"",
  REGEXMATCH(LOWER(TRIM(U110)),""zaragoza""), ""acc_149"",
  REGEXMATCH(LOWER(TRIM(U110)),""ibiza""), ""acc_140"",
  REGEXMATCH(LOWER"&amp;"(TRIM(U110)),""mallorca""), ""acc_140"",
  REGEXMATCH(LOWER(TRIM(U110)),""menorca""), ""acc_150"",
  TRUE, """"
)
"),"acc_139")</f>
        <v>acc_139</v>
      </c>
      <c r="I110" s="10" t="s">
        <v>491</v>
      </c>
      <c r="K110" s="1" t="s">
        <v>197</v>
      </c>
      <c r="L110" s="11" t="str">
        <f>IFERROR(__xludf.DUMMYFUNCTION("LET(
  s, UPPER(TRIM(T110)),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10" s="13"/>
      <c r="N110" s="10" t="str">
        <f t="shared" ref="N110:O110" si="109">V110</f>
        <v>Patxi </v>
      </c>
      <c r="O110" s="10" t="str">
        <f t="shared" si="109"/>
        <v/>
      </c>
      <c r="P110" s="10"/>
      <c r="Q110" s="10"/>
      <c r="S110" s="16"/>
      <c r="T110" s="14" t="s">
        <v>296</v>
      </c>
      <c r="U110" s="14" t="s">
        <v>345</v>
      </c>
      <c r="V110" s="14" t="s">
        <v>222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</row>
    <row r="111">
      <c r="A111" s="1" t="s">
        <v>492</v>
      </c>
      <c r="B111" s="10" t="s">
        <v>493</v>
      </c>
      <c r="C111" s="11" t="str">
        <f>IFERROR(__xludf.DUMMYFUNCTION("IFS(
  REGEXMATCH(LOWER(TRIM(N111)),""nico""), ""us_001"",
  REGEXMATCH(LOWER(TRIM(N111)),""alfonso""), ""us_002"",
  REGEXMATCH(LOWER(TRIM(N111)),""patxi""), ""us_003"",
  REGEXMATCH(LOWER(TRIM(N111)),""martin""), ""us_004"",
  TRUE, ""us_999""
)"),"us_003")</f>
        <v>us_003</v>
      </c>
      <c r="D111" s="10" t="str">
        <f>IFERROR(__xludf.DUMMYFUNCTION("""COMPUTED_VALUE"""),"us_003")</f>
        <v>us_003</v>
      </c>
      <c r="E111" s="11" t="s">
        <v>196</v>
      </c>
      <c r="F111" s="11" t="str">
        <f>IFERROR(__xludf.DUMMYFUNCTION("LET(
  s, UPPER(TRIM(N111)),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11" s="1" t="s">
        <v>197</v>
      </c>
      <c r="H111" s="12" t="str">
        <f>IFERROR(__xludf.DUMMYFUNCTION("IFS(
  REGEXMATCH(LOWER(TRIM(U111)),""barcelona""), ""acc_139"",
  REGEXMATCH(LOWER(TRIM(U111)),""madrid""), ""acc_148"",
  REGEXMATCH(LOWER(TRIM(U111)),""zaragoza""), ""acc_149"",
  REGEXMATCH(LOWER(TRIM(U111)),""ibiza""), ""acc_140"",
  REGEXMATCH(LOWER"&amp;"(TRIM(U111)),""mallorca""), ""acc_140"",
  REGEXMATCH(LOWER(TRIM(U111)),""menorca""), ""acc_150"",
  TRUE, """"
)
"),"acc_139")</f>
        <v>acc_139</v>
      </c>
      <c r="I111" s="10" t="s">
        <v>494</v>
      </c>
      <c r="K111" s="1" t="s">
        <v>197</v>
      </c>
      <c r="L111" s="11" t="str">
        <f>IFERROR(__xludf.DUMMYFUNCTION("LET(
  s, UPPER(TRIM(T111)),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11" s="13"/>
      <c r="N111" s="10" t="str">
        <f t="shared" ref="N111:O111" si="110">V111</f>
        <v>Patxi </v>
      </c>
      <c r="O111" s="10" t="str">
        <f t="shared" si="110"/>
        <v/>
      </c>
      <c r="P111" s="10"/>
      <c r="Q111" s="10"/>
      <c r="S111" s="16"/>
      <c r="T111" s="14" t="s">
        <v>348</v>
      </c>
      <c r="U111" s="14" t="s">
        <v>345</v>
      </c>
      <c r="V111" s="14" t="s">
        <v>222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</row>
    <row r="112">
      <c r="A112" s="1" t="s">
        <v>495</v>
      </c>
      <c r="B112" s="10" t="s">
        <v>496</v>
      </c>
      <c r="C112" s="11" t="str">
        <f>IFERROR(__xludf.DUMMYFUNCTION("IFS(
  REGEXMATCH(LOWER(TRIM(N112)),""nico""), ""us_001"",
  REGEXMATCH(LOWER(TRIM(N112)),""alfonso""), ""us_002"",
  REGEXMATCH(LOWER(TRIM(N112)),""patxi""), ""us_003"",
  REGEXMATCH(LOWER(TRIM(N112)),""martin""), ""us_004"",
  TRUE, ""us_999""
)"),"us_003")</f>
        <v>us_003</v>
      </c>
      <c r="D112" s="10" t="str">
        <f>IFERROR(__xludf.DUMMYFUNCTION("""COMPUTED_VALUE"""),"us_003")</f>
        <v>us_003</v>
      </c>
      <c r="E112" s="11" t="s">
        <v>196</v>
      </c>
      <c r="F112" s="11" t="str">
        <f>IFERROR(__xludf.DUMMYFUNCTION("LET(
  s, UPPER(TRIM(N112)),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12" s="1" t="s">
        <v>197</v>
      </c>
      <c r="H112" s="12" t="str">
        <f>IFERROR(__xludf.DUMMYFUNCTION("IFS(
  REGEXMATCH(LOWER(TRIM(U112)),""barcelona""), ""acc_139"",
  REGEXMATCH(LOWER(TRIM(U112)),""madrid""), ""acc_148"",
  REGEXMATCH(LOWER(TRIM(U112)),""zaragoza""), ""acc_149"",
  REGEXMATCH(LOWER(TRIM(U112)),""ibiza""), ""acc_140"",
  REGEXMATCH(LOWER"&amp;"(TRIM(U112)),""mallorca""), ""acc_140"",
  REGEXMATCH(LOWER(TRIM(U112)),""menorca""), ""acc_150"",
  TRUE, """"
)
"),"acc_139")</f>
        <v>acc_139</v>
      </c>
      <c r="I112" s="10" t="s">
        <v>497</v>
      </c>
      <c r="K112" s="1" t="s">
        <v>197</v>
      </c>
      <c r="L112" s="11" t="str">
        <f>IFERROR(__xludf.DUMMYFUNCTION("LET(
  s, UPPER(TRIM(T112)),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12" s="13"/>
      <c r="N112" s="10" t="str">
        <f t="shared" ref="N112:O112" si="111">V112</f>
        <v>Patxi </v>
      </c>
      <c r="O112" s="10" t="str">
        <f t="shared" si="111"/>
        <v/>
      </c>
      <c r="P112" s="10"/>
      <c r="Q112" s="10"/>
      <c r="S112" s="16"/>
      <c r="T112" s="14" t="s">
        <v>296</v>
      </c>
      <c r="U112" s="14" t="s">
        <v>345</v>
      </c>
      <c r="V112" s="14" t="s">
        <v>222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</row>
    <row r="113">
      <c r="A113" s="1" t="s">
        <v>498</v>
      </c>
      <c r="B113" s="10" t="s">
        <v>499</v>
      </c>
      <c r="C113" s="11" t="str">
        <f>IFERROR(__xludf.DUMMYFUNCTION("IFS(
  REGEXMATCH(LOWER(TRIM(N113)),""nico""), ""us_001"",
  REGEXMATCH(LOWER(TRIM(N113)),""alfonso""), ""us_002"",
  REGEXMATCH(LOWER(TRIM(N113)),""patxi""), ""us_003"",
  REGEXMATCH(LOWER(TRIM(N113)),""martin""), ""us_004"",
  TRUE, ""us_999""
)"),"us_003")</f>
        <v>us_003</v>
      </c>
      <c r="D113" s="10" t="str">
        <f>IFERROR(__xludf.DUMMYFUNCTION("""COMPUTED_VALUE"""),"us_003")</f>
        <v>us_003</v>
      </c>
      <c r="E113" s="11" t="s">
        <v>196</v>
      </c>
      <c r="F113" s="11" t="str">
        <f>IFERROR(__xludf.DUMMYFUNCTION("LET(
  s, UPPER(TRIM(N113)),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13" s="1" t="s">
        <v>197</v>
      </c>
      <c r="H113" s="12" t="str">
        <f>IFERROR(__xludf.DUMMYFUNCTION("IFS(
  REGEXMATCH(LOWER(TRIM(U113)),""barcelona""), ""acc_139"",
  REGEXMATCH(LOWER(TRIM(U113)),""madrid""), ""acc_148"",
  REGEXMATCH(LOWER(TRIM(U113)),""zaragoza""), ""acc_149"",
  REGEXMATCH(LOWER(TRIM(U113)),""ibiza""), ""acc_140"",
  REGEXMATCH(LOWER"&amp;"(TRIM(U113)),""mallorca""), ""acc_140"",
  REGEXMATCH(LOWER(TRIM(U113)),""menorca""), ""acc_150"",
  TRUE, """"
)
"),"acc_139")</f>
        <v>acc_139</v>
      </c>
      <c r="I113" s="10"/>
      <c r="K113" s="1" t="s">
        <v>197</v>
      </c>
      <c r="L113" s="11" t="str">
        <f>IFERROR(__xludf.DUMMYFUNCTION("LET(
  s, UPPER(TRIM(T113)),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13" s="13"/>
      <c r="N113" s="10" t="str">
        <f t="shared" ref="N113:O113" si="112">V113</f>
        <v>Patxi </v>
      </c>
      <c r="O113" s="10" t="str">
        <f t="shared" si="112"/>
        <v/>
      </c>
      <c r="P113" s="10"/>
      <c r="Q113" s="10"/>
      <c r="S113" s="16"/>
      <c r="T113" s="14" t="s">
        <v>296</v>
      </c>
      <c r="U113" s="14" t="s">
        <v>345</v>
      </c>
      <c r="V113" s="14" t="s">
        <v>222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</row>
    <row r="114">
      <c r="A114" s="1" t="s">
        <v>500</v>
      </c>
      <c r="B114" s="10" t="s">
        <v>501</v>
      </c>
      <c r="C114" s="11" t="str">
        <f>IFERROR(__xludf.DUMMYFUNCTION("IFS(
  REGEXMATCH(LOWER(TRIM(N114)),""nico""), ""us_001"",
  REGEXMATCH(LOWER(TRIM(N114)),""alfonso""), ""us_002"",
  REGEXMATCH(LOWER(TRIM(N114)),""patxi""), ""us_003"",
  REGEXMATCH(LOWER(TRIM(N114)),""martin""), ""us_004"",
  TRUE, ""us_999""
)"),"us_003")</f>
        <v>us_003</v>
      </c>
      <c r="D114" s="10" t="str">
        <f>IFERROR(__xludf.DUMMYFUNCTION("""COMPUTED_VALUE"""),"us_003")</f>
        <v>us_003</v>
      </c>
      <c r="E114" s="11" t="s">
        <v>196</v>
      </c>
      <c r="F114" s="11" t="str">
        <f>IFERROR(__xludf.DUMMYFUNCTION("LET(
  s, UPPER(TRIM(N114)),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14" s="1" t="s">
        <v>197</v>
      </c>
      <c r="H114" s="12" t="str">
        <f>IFERROR(__xludf.DUMMYFUNCTION("IFS(
  REGEXMATCH(LOWER(TRIM(U114)),""barcelona""), ""acc_139"",
  REGEXMATCH(LOWER(TRIM(U114)),""madrid""), ""acc_148"",
  REGEXMATCH(LOWER(TRIM(U114)),""zaragoza""), ""acc_149"",
  REGEXMATCH(LOWER(TRIM(U114)),""ibiza""), ""acc_140"",
  REGEXMATCH(LOWER"&amp;"(TRIM(U114)),""mallorca""), ""acc_140"",
  REGEXMATCH(LOWER(TRIM(U114)),""menorca""), ""acc_150"",
  TRUE, """"
)
"),"acc_139")</f>
        <v>acc_139</v>
      </c>
      <c r="I114" s="10" t="s">
        <v>502</v>
      </c>
      <c r="K114" s="1" t="s">
        <v>197</v>
      </c>
      <c r="L114" s="11" t="str">
        <f>IFERROR(__xludf.DUMMYFUNCTION("LET(
  s, UPPER(TRIM(T114)),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14" s="13"/>
      <c r="N114" s="10" t="str">
        <f t="shared" ref="N114:O114" si="113">V114</f>
        <v>Patxi </v>
      </c>
      <c r="O114" s="10" t="str">
        <f t="shared" si="113"/>
        <v/>
      </c>
      <c r="P114" s="10"/>
      <c r="Q114" s="10"/>
      <c r="S114" s="16"/>
      <c r="T114" s="14" t="s">
        <v>348</v>
      </c>
      <c r="U114" s="14" t="s">
        <v>345</v>
      </c>
      <c r="V114" s="14" t="s">
        <v>222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</row>
    <row r="115">
      <c r="A115" s="1" t="s">
        <v>503</v>
      </c>
      <c r="B115" s="10" t="s">
        <v>504</v>
      </c>
      <c r="C115" s="11" t="str">
        <f>IFERROR(__xludf.DUMMYFUNCTION("IFS(
  REGEXMATCH(LOWER(TRIM(N115)),""nico""), ""us_001"",
  REGEXMATCH(LOWER(TRIM(N115)),""alfonso""), ""us_002"",
  REGEXMATCH(LOWER(TRIM(N115)),""patxi""), ""us_003"",
  REGEXMATCH(LOWER(TRIM(N115)),""martin""), ""us_004"",
  TRUE, ""us_999""
)"),"us_003")</f>
        <v>us_003</v>
      </c>
      <c r="D115" s="10" t="str">
        <f>IFERROR(__xludf.DUMMYFUNCTION("""COMPUTED_VALUE"""),"us_003")</f>
        <v>us_003</v>
      </c>
      <c r="E115" s="11" t="s">
        <v>196</v>
      </c>
      <c r="F115" s="11" t="str">
        <f>IFERROR(__xludf.DUMMYFUNCTION("LET(
  s, UPPER(TRIM(N115)),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15" s="1" t="s">
        <v>197</v>
      </c>
      <c r="H115" s="12" t="str">
        <f>IFERROR(__xludf.DUMMYFUNCTION("IFS(
  REGEXMATCH(LOWER(TRIM(U115)),""barcelona""), ""acc_139"",
  REGEXMATCH(LOWER(TRIM(U115)),""madrid""), ""acc_148"",
  REGEXMATCH(LOWER(TRIM(U115)),""zaragoza""), ""acc_149"",
  REGEXMATCH(LOWER(TRIM(U115)),""ibiza""), ""acc_140"",
  REGEXMATCH(LOWER"&amp;"(TRIM(U115)),""mallorca""), ""acc_140"",
  REGEXMATCH(LOWER(TRIM(U115)),""menorca""), ""acc_150"",
  TRUE, """"
)
"),"acc_139")</f>
        <v>acc_139</v>
      </c>
      <c r="I115" s="10" t="s">
        <v>505</v>
      </c>
      <c r="K115" s="1" t="s">
        <v>197</v>
      </c>
      <c r="L115" s="11" t="str">
        <f>IFERROR(__xludf.DUMMYFUNCTION("LET(
  s, UPPER(TRIM(T115)),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15" s="13"/>
      <c r="N115" s="10" t="str">
        <f t="shared" ref="N115:O115" si="114">V115</f>
        <v>Patxi </v>
      </c>
      <c r="O115" s="10" t="str">
        <f t="shared" si="114"/>
        <v/>
      </c>
      <c r="P115" s="10"/>
      <c r="Q115" s="10"/>
      <c r="S115" s="16"/>
      <c r="T115" s="14" t="s">
        <v>348</v>
      </c>
      <c r="U115" s="14" t="s">
        <v>345</v>
      </c>
      <c r="V115" s="14" t="s">
        <v>222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</row>
    <row r="116">
      <c r="A116" s="1" t="s">
        <v>506</v>
      </c>
      <c r="B116" s="10" t="s">
        <v>507</v>
      </c>
      <c r="C116" s="11" t="str">
        <f>IFERROR(__xludf.DUMMYFUNCTION("IFS(
  REGEXMATCH(LOWER(TRIM(N116)),""nico""), ""us_001"",
  REGEXMATCH(LOWER(TRIM(N116)),""alfonso""), ""us_002"",
  REGEXMATCH(LOWER(TRIM(N116)),""patxi""), ""us_003"",
  REGEXMATCH(LOWER(TRIM(N116)),""martin""), ""us_004"",
  TRUE, ""us_999""
)"),"us_003")</f>
        <v>us_003</v>
      </c>
      <c r="D116" s="10" t="str">
        <f>IFERROR(__xludf.DUMMYFUNCTION("""COMPUTED_VALUE"""),"us_003")</f>
        <v>us_003</v>
      </c>
      <c r="E116" s="11" t="s">
        <v>196</v>
      </c>
      <c r="F116" s="11" t="str">
        <f>IFERROR(__xludf.DUMMYFUNCTION("LET(
  s, UPPER(TRIM(N116)),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16" s="1" t="s">
        <v>197</v>
      </c>
      <c r="H116" s="12" t="str">
        <f>IFERROR(__xludf.DUMMYFUNCTION("IFS(
  REGEXMATCH(LOWER(TRIM(U116)),""barcelona""), ""acc_139"",
  REGEXMATCH(LOWER(TRIM(U116)),""madrid""), ""acc_148"",
  REGEXMATCH(LOWER(TRIM(U116)),""zaragoza""), ""acc_149"",
  REGEXMATCH(LOWER(TRIM(U116)),""ibiza""), ""acc_140"",
  REGEXMATCH(LOWER"&amp;"(TRIM(U116)),""mallorca""), ""acc_140"",
  REGEXMATCH(LOWER(TRIM(U116)),""menorca""), ""acc_150"",
  TRUE, """"
)
"),"acc_139")</f>
        <v>acc_139</v>
      </c>
      <c r="I116" s="10" t="s">
        <v>508</v>
      </c>
      <c r="K116" s="1" t="s">
        <v>197</v>
      </c>
      <c r="L116" s="11" t="str">
        <f>IFERROR(__xludf.DUMMYFUNCTION("LET(
  s, UPPER(TRIM(T116)),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16" s="13"/>
      <c r="N116" s="10" t="str">
        <f t="shared" ref="N116:O116" si="115">V116</f>
        <v>Patxi </v>
      </c>
      <c r="O116" s="10" t="str">
        <f t="shared" si="115"/>
        <v/>
      </c>
      <c r="P116" s="10"/>
      <c r="Q116" s="10"/>
      <c r="S116" s="16"/>
      <c r="T116" s="14" t="s">
        <v>348</v>
      </c>
      <c r="U116" s="14" t="s">
        <v>345</v>
      </c>
      <c r="V116" s="14" t="s">
        <v>222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</row>
    <row r="117">
      <c r="A117" s="1" t="s">
        <v>509</v>
      </c>
      <c r="B117" s="10" t="s">
        <v>510</v>
      </c>
      <c r="C117" s="11" t="str">
        <f>IFERROR(__xludf.DUMMYFUNCTION("IFS(
  REGEXMATCH(LOWER(TRIM(N117)),""nico""), ""us_001"",
  REGEXMATCH(LOWER(TRIM(N117)),""alfonso""), ""us_002"",
  REGEXMATCH(LOWER(TRIM(N117)),""patxi""), ""us_003"",
  REGEXMATCH(LOWER(TRIM(N117)),""martin""), ""us_004"",
  TRUE, ""us_999""
)"),"us_003")</f>
        <v>us_003</v>
      </c>
      <c r="D117" s="10" t="str">
        <f>IFERROR(__xludf.DUMMYFUNCTION("""COMPUTED_VALUE"""),"us_003")</f>
        <v>us_003</v>
      </c>
      <c r="E117" s="11" t="s">
        <v>196</v>
      </c>
      <c r="F117" s="11" t="str">
        <f>IFERROR(__xludf.DUMMYFUNCTION("LET(
  s, UPPER(TRIM(N117)),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17" s="1" t="s">
        <v>197</v>
      </c>
      <c r="H117" s="12" t="str">
        <f>IFERROR(__xludf.DUMMYFUNCTION("IFS(
  REGEXMATCH(LOWER(TRIM(U117)),""barcelona""), ""acc_139"",
  REGEXMATCH(LOWER(TRIM(U117)),""madrid""), ""acc_148"",
  REGEXMATCH(LOWER(TRIM(U117)),""zaragoza""), ""acc_149"",
  REGEXMATCH(LOWER(TRIM(U117)),""ibiza""), ""acc_140"",
  REGEXMATCH(LOWER"&amp;"(TRIM(U117)),""mallorca""), ""acc_140"",
  REGEXMATCH(LOWER(TRIM(U117)),""menorca""), ""acc_150"",
  TRUE, """"
)
"),"acc_139")</f>
        <v>acc_139</v>
      </c>
      <c r="I117" s="10" t="s">
        <v>508</v>
      </c>
      <c r="K117" s="1" t="s">
        <v>197</v>
      </c>
      <c r="L117" s="11" t="str">
        <f>IFERROR(__xludf.DUMMYFUNCTION("LET(
  s, UPPER(TRIM(T117)),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17" s="13"/>
      <c r="N117" s="10" t="str">
        <f t="shared" ref="N117:O117" si="116">V117</f>
        <v>Patxi </v>
      </c>
      <c r="O117" s="10" t="str">
        <f t="shared" si="116"/>
        <v/>
      </c>
      <c r="P117" s="10"/>
      <c r="Q117" s="10"/>
      <c r="S117" s="16"/>
      <c r="T117" s="14" t="s">
        <v>348</v>
      </c>
      <c r="U117" s="14" t="s">
        <v>345</v>
      </c>
      <c r="V117" s="14" t="s">
        <v>222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</row>
    <row r="118">
      <c r="A118" s="1" t="s">
        <v>511</v>
      </c>
      <c r="B118" s="10" t="s">
        <v>138</v>
      </c>
      <c r="C118" s="11" t="str">
        <f>IFERROR(__xludf.DUMMYFUNCTION("IFS(
  REGEXMATCH(LOWER(TRIM(N118)),""nico""), ""us_001"",
  REGEXMATCH(LOWER(TRIM(N118)),""alfonso""), ""us_002"",
  REGEXMATCH(LOWER(TRIM(N118)),""patxi""), ""us_003"",
  REGEXMATCH(LOWER(TRIM(N118)),""martin""), ""us_004"",
  TRUE, ""us_999""
)"),"us_002")</f>
        <v>us_002</v>
      </c>
      <c r="D118" s="10" t="str">
        <f>IFERROR(__xludf.DUMMYFUNCTION("""COMPUTED_VALUE"""),"us_002")</f>
        <v>us_002</v>
      </c>
      <c r="E118" s="11" t="s">
        <v>196</v>
      </c>
      <c r="F118" s="11" t="str">
        <f>IFERROR(__xludf.DUMMYFUNCTION("LET(
  s, UPPER(TRIM(N118)),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18" s="1" t="s">
        <v>197</v>
      </c>
      <c r="H118" s="12" t="str">
        <f>IFERROR(__xludf.DUMMYFUNCTION("IFS(
  REGEXMATCH(LOWER(TRIM(U118)),""barcelona""), ""acc_139"",
  REGEXMATCH(LOWER(TRIM(U118)),""madrid""), ""acc_148"",
  REGEXMATCH(LOWER(TRIM(U118)),""zaragoza""), ""acc_149"",
  REGEXMATCH(LOWER(TRIM(U118)),""ibiza""), ""acc_140"",
  REGEXMATCH(LOWER"&amp;"(TRIM(U118)),""mallorca""), ""acc_140"",
  REGEXMATCH(LOWER(TRIM(U118)),""menorca""), ""acc_150"",
  TRUE, """"
)
"),"acc_148")</f>
        <v>acc_148</v>
      </c>
      <c r="I118" s="10"/>
      <c r="K118" s="1" t="s">
        <v>197</v>
      </c>
      <c r="L118" s="11" t="str">
        <f>IFERROR(__xludf.DUMMYFUNCTION("LET(
  s, UPPER(TRIM(T118)),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18" s="13"/>
      <c r="N118" s="10" t="str">
        <f t="shared" ref="N118:O118" si="117">V118</f>
        <v>Alfonso </v>
      </c>
      <c r="O118" s="10" t="str">
        <f t="shared" si="117"/>
        <v>4 cajas</v>
      </c>
      <c r="P118" s="10"/>
      <c r="Q118" s="10"/>
      <c r="S118" s="14" t="b">
        <v>0</v>
      </c>
      <c r="T118" s="14" t="s">
        <v>199</v>
      </c>
      <c r="U118" s="14" t="s">
        <v>200</v>
      </c>
      <c r="V118" s="14" t="s">
        <v>201</v>
      </c>
      <c r="W118" s="10" t="s">
        <v>275</v>
      </c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</row>
    <row r="119">
      <c r="A119" s="1" t="s">
        <v>512</v>
      </c>
      <c r="B119" s="10" t="s">
        <v>178</v>
      </c>
      <c r="C119" s="11" t="str">
        <f>IFERROR(__xludf.DUMMYFUNCTION("IFS(
  REGEXMATCH(LOWER(TRIM(N119)),""nico""), ""us_001"",
  REGEXMATCH(LOWER(TRIM(N119)),""alfonso""), ""us_002"",
  REGEXMATCH(LOWER(TRIM(N119)),""patxi""), ""us_003"",
  REGEXMATCH(LOWER(TRIM(N119)),""martin""), ""us_004"",
  TRUE, ""us_999""
)"),"us_001")</f>
        <v>us_001</v>
      </c>
      <c r="D119" s="10" t="str">
        <f>IFERROR(__xludf.DUMMYFUNCTION("""COMPUTED_VALUE"""),"us_001")</f>
        <v>us_001</v>
      </c>
      <c r="E119" s="11" t="s">
        <v>196</v>
      </c>
      <c r="F119" s="11" t="str">
        <f>IFERROR(__xludf.DUMMYFUNCTION("LET(
  s, UPPER(TRIM(N119)),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19" s="1" t="s">
        <v>197</v>
      </c>
      <c r="H119" s="12" t="str">
        <f>IFERROR(__xludf.DUMMYFUNCTION("IFS(
  REGEXMATCH(LOWER(TRIM(U119)),""barcelona""), ""acc_139"",
  REGEXMATCH(LOWER(TRIM(U119)),""madrid""), ""acc_148"",
  REGEXMATCH(LOWER(TRIM(U119)),""zaragoza""), ""acc_149"",
  REGEXMATCH(LOWER(TRIM(U119)),""ibiza""), ""acc_140"",
  REGEXMATCH(LOWER"&amp;"(TRIM(U119)),""mallorca""), ""acc_140"",
  REGEXMATCH(LOWER(TRIM(U119)),""menorca""), ""acc_150"",
  TRUE, """"
)
"),"acc_148")</f>
        <v>acc_148</v>
      </c>
      <c r="I119" s="10" t="s">
        <v>513</v>
      </c>
      <c r="K119" s="1" t="s">
        <v>197</v>
      </c>
      <c r="L119" s="11" t="str">
        <f>IFERROR(__xludf.DUMMYFUNCTION("LET(
  s, UPPER(TRIM(T119)),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19" s="15">
        <v>45881.0</v>
      </c>
      <c r="N119" s="10" t="str">
        <f t="shared" ref="N119:O119" si="118">V119</f>
        <v>Nico</v>
      </c>
      <c r="O119" s="10" t="str">
        <f t="shared" si="118"/>
        <v>3 cajas</v>
      </c>
      <c r="P119" s="10"/>
      <c r="Q119" s="10"/>
      <c r="S119" s="14" t="b">
        <v>0</v>
      </c>
      <c r="T119" s="14" t="s">
        <v>199</v>
      </c>
      <c r="U119" s="14" t="s">
        <v>200</v>
      </c>
      <c r="V119" s="14" t="s">
        <v>206</v>
      </c>
      <c r="W119" s="10" t="s">
        <v>514</v>
      </c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</row>
    <row r="120">
      <c r="A120" s="1" t="s">
        <v>515</v>
      </c>
      <c r="B120" s="10" t="s">
        <v>516</v>
      </c>
      <c r="C120" s="11" t="str">
        <f>IFERROR(__xludf.DUMMYFUNCTION("IFS(
  REGEXMATCH(LOWER(TRIM(N120)),""nico""), ""us_001"",
  REGEXMATCH(LOWER(TRIM(N120)),""alfonso""), ""us_002"",
  REGEXMATCH(LOWER(TRIM(N120)),""patxi""), ""us_003"",
  REGEXMATCH(LOWER(TRIM(N120)),""martin""), ""us_004"",
  TRUE, ""us_999""
)"),"us_003")</f>
        <v>us_003</v>
      </c>
      <c r="D120" s="10" t="str">
        <f>IFERROR(__xludf.DUMMYFUNCTION("""COMPUTED_VALUE"""),"us_003")</f>
        <v>us_003</v>
      </c>
      <c r="E120" s="11" t="s">
        <v>196</v>
      </c>
      <c r="F120" s="11" t="str">
        <f>IFERROR(__xludf.DUMMYFUNCTION("LET(
  s, UPPER(TRIM(N120)),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20" s="1" t="s">
        <v>197</v>
      </c>
      <c r="H120" s="12" t="str">
        <f>IFERROR(__xludf.DUMMYFUNCTION("IFS(
  REGEXMATCH(LOWER(TRIM(U120)),""barcelona""), ""acc_139"",
  REGEXMATCH(LOWER(TRIM(U120)),""madrid""), ""acc_148"",
  REGEXMATCH(LOWER(TRIM(U120)),""zaragoza""), ""acc_149"",
  REGEXMATCH(LOWER(TRIM(U120)),""ibiza""), ""acc_140"",
  REGEXMATCH(LOWER"&amp;"(TRIM(U120)),""mallorca""), ""acc_140"",
  REGEXMATCH(LOWER(TRIM(U120)),""menorca""), ""acc_150"",
  TRUE, """"
)
"),"acc_139")</f>
        <v>acc_139</v>
      </c>
      <c r="I120" s="10" t="s">
        <v>517</v>
      </c>
      <c r="K120" s="1" t="s">
        <v>197</v>
      </c>
      <c r="L120" s="11" t="str">
        <f>IFERROR(__xludf.DUMMYFUNCTION("LET(
  s, UPPER(TRIM(T120)),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20" s="13"/>
      <c r="N120" s="10" t="str">
        <f t="shared" ref="N120:O120" si="119">V120</f>
        <v>Patxi </v>
      </c>
      <c r="O120" s="10" t="str">
        <f t="shared" si="119"/>
        <v/>
      </c>
      <c r="P120" s="10"/>
      <c r="Q120" s="10"/>
      <c r="S120" s="14" t="b">
        <v>0</v>
      </c>
      <c r="T120" s="14" t="s">
        <v>199</v>
      </c>
      <c r="U120" s="14" t="s">
        <v>345</v>
      </c>
      <c r="V120" s="14" t="s">
        <v>222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</row>
    <row r="121">
      <c r="A121" s="1" t="s">
        <v>518</v>
      </c>
      <c r="B121" s="10" t="s">
        <v>168</v>
      </c>
      <c r="C121" s="11" t="str">
        <f>IFERROR(__xludf.DUMMYFUNCTION("IFS(
  REGEXMATCH(LOWER(TRIM(N121)),""nico""), ""us_001"",
  REGEXMATCH(LOWER(TRIM(N121)),""alfonso""), ""us_002"",
  REGEXMATCH(LOWER(TRIM(N121)),""patxi""), ""us_003"",
  REGEXMATCH(LOWER(TRIM(N121)),""martin""), ""us_004"",
  TRUE, ""us_999""
)"),"us_003")</f>
        <v>us_003</v>
      </c>
      <c r="D121" s="10" t="str">
        <f>IFERROR(__xludf.DUMMYFUNCTION("""COMPUTED_VALUE"""),"us_003")</f>
        <v>us_003</v>
      </c>
      <c r="E121" s="11" t="s">
        <v>196</v>
      </c>
      <c r="F121" s="11" t="str">
        <f>IFERROR(__xludf.DUMMYFUNCTION("LET(
  s, UPPER(TRIM(N121)),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21" s="1" t="s">
        <v>197</v>
      </c>
      <c r="H121" s="12" t="str">
        <f>IFERROR(__xludf.DUMMYFUNCTION("IFS(
  REGEXMATCH(LOWER(TRIM(U121)),""barcelona""), ""acc_139"",
  REGEXMATCH(LOWER(TRIM(U121)),""madrid""), ""acc_148"",
  REGEXMATCH(LOWER(TRIM(U121)),""zaragoza""), ""acc_149"",
  REGEXMATCH(LOWER(TRIM(U121)),""ibiza""), ""acc_140"",
  REGEXMATCH(LOWER"&amp;"(TRIM(U121)),""mallorca""), ""acc_140"",
  REGEXMATCH(LOWER(TRIM(U121)),""menorca""), ""acc_150"",
  TRUE, """"
)
"),"")</f>
        <v/>
      </c>
      <c r="I121" s="10" t="s">
        <v>519</v>
      </c>
      <c r="K121" s="1" t="s">
        <v>197</v>
      </c>
      <c r="L121" s="11" t="str">
        <f>IFERROR(__xludf.DUMMYFUNCTION("LET(
  s, UPPER(TRIM(T121)),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21" s="13"/>
      <c r="N121" s="10" t="str">
        <f t="shared" ref="N121:O121" si="120">V121</f>
        <v>Patxi </v>
      </c>
      <c r="O121" s="10" t="str">
        <f t="shared" si="120"/>
        <v>4 cajas </v>
      </c>
      <c r="P121" s="10"/>
      <c r="Q121" s="10"/>
      <c r="S121" s="14" t="b">
        <v>0</v>
      </c>
      <c r="T121" s="14" t="s">
        <v>199</v>
      </c>
      <c r="U121" s="14" t="s">
        <v>284</v>
      </c>
      <c r="V121" s="14" t="s">
        <v>222</v>
      </c>
      <c r="W121" s="10" t="s">
        <v>520</v>
      </c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</row>
    <row r="122">
      <c r="A122" s="1" t="s">
        <v>521</v>
      </c>
      <c r="B122" s="10" t="s">
        <v>170</v>
      </c>
      <c r="C122" s="11" t="str">
        <f>IFERROR(__xludf.DUMMYFUNCTION("IFS(
  REGEXMATCH(LOWER(TRIM(N122)),""nico""), ""us_001"",
  REGEXMATCH(LOWER(TRIM(N122)),""alfonso""), ""us_002"",
  REGEXMATCH(LOWER(TRIM(N122)),""patxi""), ""us_003"",
  REGEXMATCH(LOWER(TRIM(N122)),""martin""), ""us_004"",
  TRUE, ""us_999""
)"),"us_003")</f>
        <v>us_003</v>
      </c>
      <c r="D122" s="10" t="str">
        <f>IFERROR(__xludf.DUMMYFUNCTION("""COMPUTED_VALUE"""),"us_003")</f>
        <v>us_003</v>
      </c>
      <c r="E122" s="11" t="s">
        <v>196</v>
      </c>
      <c r="F122" s="11" t="str">
        <f>IFERROR(__xludf.DUMMYFUNCTION("LET(
  s, UPPER(TRIM(N122)),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22" s="1" t="s">
        <v>197</v>
      </c>
      <c r="H122" s="12" t="str">
        <f>IFERROR(__xludf.DUMMYFUNCTION("IFS(
  REGEXMATCH(LOWER(TRIM(U122)),""barcelona""), ""acc_139"",
  REGEXMATCH(LOWER(TRIM(U122)),""madrid""), ""acc_148"",
  REGEXMATCH(LOWER(TRIM(U122)),""zaragoza""), ""acc_149"",
  REGEXMATCH(LOWER(TRIM(U122)),""ibiza""), ""acc_140"",
  REGEXMATCH(LOWER"&amp;"(TRIM(U122)),""mallorca""), ""acc_140"",
  REGEXMATCH(LOWER(TRIM(U122)),""menorca""), ""acc_150"",
  TRUE, """"
)
"),"acc_140")</f>
        <v>acc_140</v>
      </c>
      <c r="I122" s="10" t="s">
        <v>522</v>
      </c>
      <c r="K122" s="1" t="s">
        <v>197</v>
      </c>
      <c r="L122" s="11" t="str">
        <f>IFERROR(__xludf.DUMMYFUNCTION("LET(
  s, UPPER(TRIM(T122)),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22" s="13"/>
      <c r="N122" s="10" t="str">
        <f t="shared" ref="N122:O122" si="121">V122</f>
        <v>Patxi </v>
      </c>
      <c r="O122" s="10" t="str">
        <f t="shared" si="121"/>
        <v>2 cajas</v>
      </c>
      <c r="P122" s="10"/>
      <c r="Q122" s="10"/>
      <c r="S122" s="14" t="b">
        <v>0</v>
      </c>
      <c r="T122" s="14" t="s">
        <v>199</v>
      </c>
      <c r="U122" s="14" t="s">
        <v>286</v>
      </c>
      <c r="V122" s="14" t="s">
        <v>222</v>
      </c>
      <c r="W122" s="10" t="s">
        <v>202</v>
      </c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</row>
    <row r="123">
      <c r="A123" s="1" t="s">
        <v>523</v>
      </c>
      <c r="B123" s="10" t="s">
        <v>172</v>
      </c>
      <c r="C123" s="11" t="str">
        <f>IFERROR(__xludf.DUMMYFUNCTION("IFS(
  REGEXMATCH(LOWER(TRIM(N123)),""nico""), ""us_001"",
  REGEXMATCH(LOWER(TRIM(N123)),""alfonso""), ""us_002"",
  REGEXMATCH(LOWER(TRIM(N123)),""patxi""), ""us_003"",
  REGEXMATCH(LOWER(TRIM(N123)),""martin""), ""us_004"",
  TRUE, ""us_999""
)"),"us_003")</f>
        <v>us_003</v>
      </c>
      <c r="D123" s="10" t="str">
        <f>IFERROR(__xludf.DUMMYFUNCTION("""COMPUTED_VALUE"""),"us_003")</f>
        <v>us_003</v>
      </c>
      <c r="E123" s="11" t="s">
        <v>196</v>
      </c>
      <c r="F123" s="11" t="str">
        <f>IFERROR(__xludf.DUMMYFUNCTION("LET(
  s, UPPER(TRIM(N123)),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23" s="1" t="s">
        <v>197</v>
      </c>
      <c r="H123" s="12" t="str">
        <f>IFERROR(__xludf.DUMMYFUNCTION("IFS(
  REGEXMATCH(LOWER(TRIM(U123)),""barcelona""), ""acc_139"",
  REGEXMATCH(LOWER(TRIM(U123)),""madrid""), ""acc_148"",
  REGEXMATCH(LOWER(TRIM(U123)),""zaragoza""), ""acc_149"",
  REGEXMATCH(LOWER(TRIM(U123)),""ibiza""), ""acc_140"",
  REGEXMATCH(LOWER"&amp;"(TRIM(U123)),""mallorca""), ""acc_140"",
  REGEXMATCH(LOWER(TRIM(U123)),""menorca""), ""acc_150"",
  TRUE, """"
)
"),"acc_140")</f>
        <v>acc_140</v>
      </c>
      <c r="I123" s="10" t="s">
        <v>522</v>
      </c>
      <c r="K123" s="1" t="s">
        <v>197</v>
      </c>
      <c r="L123" s="11" t="str">
        <f>IFERROR(__xludf.DUMMYFUNCTION("LET(
  s, UPPER(TRIM(T123)),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23" s="13"/>
      <c r="N123" s="10" t="str">
        <f t="shared" ref="N123:O123" si="122">V123</f>
        <v>Patxi </v>
      </c>
      <c r="O123" s="10" t="str">
        <f t="shared" si="122"/>
        <v>2 cajas </v>
      </c>
      <c r="P123" s="10"/>
      <c r="Q123" s="10"/>
      <c r="S123" s="14" t="b">
        <v>0</v>
      </c>
      <c r="T123" s="14" t="s">
        <v>199</v>
      </c>
      <c r="U123" s="14" t="s">
        <v>286</v>
      </c>
      <c r="V123" s="14" t="s">
        <v>222</v>
      </c>
      <c r="W123" s="10" t="s">
        <v>207</v>
      </c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</row>
    <row r="124">
      <c r="A124" s="1" t="s">
        <v>524</v>
      </c>
      <c r="B124" s="10" t="s">
        <v>113</v>
      </c>
      <c r="C124" s="11" t="str">
        <f>IFERROR(__xludf.DUMMYFUNCTION("IFS(
  REGEXMATCH(LOWER(TRIM(N124)),""nico""), ""us_001"",
  REGEXMATCH(LOWER(TRIM(N124)),""alfonso""), ""us_002"",
  REGEXMATCH(LOWER(TRIM(N124)),""patxi""), ""us_003"",
  REGEXMATCH(LOWER(TRIM(N124)),""martin""), ""us_004"",
  TRUE, ""us_999""
)"),"us_002")</f>
        <v>us_002</v>
      </c>
      <c r="D124" s="10" t="str">
        <f>IFERROR(__xludf.DUMMYFUNCTION("""COMPUTED_VALUE"""),"us_002")</f>
        <v>us_002</v>
      </c>
      <c r="E124" s="11" t="s">
        <v>196</v>
      </c>
      <c r="F124" s="11" t="str">
        <f>IFERROR(__xludf.DUMMYFUNCTION("LET(
  s, UPPER(TRIM(N124)),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24" s="1" t="s">
        <v>197</v>
      </c>
      <c r="H124" s="12" t="str">
        <f>IFERROR(__xludf.DUMMYFUNCTION("IFS(
  REGEXMATCH(LOWER(TRIM(U124)),""barcelona""), ""acc_139"",
  REGEXMATCH(LOWER(TRIM(U124)),""madrid""), ""acc_148"",
  REGEXMATCH(LOWER(TRIM(U124)),""zaragoza""), ""acc_149"",
  REGEXMATCH(LOWER(TRIM(U124)),""ibiza""), ""acc_140"",
  REGEXMATCH(LOWER"&amp;"(TRIM(U124)),""mallorca""), ""acc_140"",
  REGEXMATCH(LOWER(TRIM(U124)),""menorca""), ""acc_150"",
  TRUE, """"
)
"),"acc_148")</f>
        <v>acc_148</v>
      </c>
      <c r="I124" s="10" t="s">
        <v>525</v>
      </c>
      <c r="K124" s="1" t="s">
        <v>197</v>
      </c>
      <c r="L124" s="11" t="str">
        <f>IFERROR(__xludf.DUMMYFUNCTION("LET(
  s, UPPER(TRIM(T124)),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24" s="13">
        <v>45919.0</v>
      </c>
      <c r="N124" s="10" t="str">
        <f t="shared" ref="N124:O124" si="123">V124</f>
        <v>Alfonso </v>
      </c>
      <c r="O124" s="10" t="str">
        <f t="shared" si="123"/>
        <v>1 caja</v>
      </c>
      <c r="P124" s="10"/>
      <c r="Q124" s="10"/>
      <c r="S124" s="14" t="b">
        <v>0</v>
      </c>
      <c r="T124" s="14" t="s">
        <v>199</v>
      </c>
      <c r="U124" s="14" t="s">
        <v>200</v>
      </c>
      <c r="V124" s="14" t="s">
        <v>201</v>
      </c>
      <c r="W124" s="10" t="s">
        <v>287</v>
      </c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</row>
    <row r="125">
      <c r="A125" s="1" t="s">
        <v>526</v>
      </c>
      <c r="B125" s="10" t="s">
        <v>111</v>
      </c>
      <c r="C125" s="11" t="str">
        <f>IFERROR(__xludf.DUMMYFUNCTION("IFS(
  REGEXMATCH(LOWER(TRIM(N125)),""nico""), ""us_001"",
  REGEXMATCH(LOWER(TRIM(N125)),""alfonso""), ""us_002"",
  REGEXMATCH(LOWER(TRIM(N125)),""patxi""), ""us_003"",
  REGEXMATCH(LOWER(TRIM(N125)),""martin""), ""us_004"",
  TRUE, ""us_999""
)"),"us_002")</f>
        <v>us_002</v>
      </c>
      <c r="D125" s="10" t="str">
        <f>IFERROR(__xludf.DUMMYFUNCTION("""COMPUTED_VALUE"""),"us_002")</f>
        <v>us_002</v>
      </c>
      <c r="E125" s="11" t="s">
        <v>196</v>
      </c>
      <c r="F125" s="11" t="str">
        <f>IFERROR(__xludf.DUMMYFUNCTION("LET(
  s, UPPER(TRIM(N125)),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25" s="1" t="s">
        <v>197</v>
      </c>
      <c r="H125" s="12" t="str">
        <f>IFERROR(__xludf.DUMMYFUNCTION("IFS(
  REGEXMATCH(LOWER(TRIM(U125)),""barcelona""), ""acc_139"",
  REGEXMATCH(LOWER(TRIM(U125)),""madrid""), ""acc_148"",
  REGEXMATCH(LOWER(TRIM(U125)),""zaragoza""), ""acc_149"",
  REGEXMATCH(LOWER(TRIM(U125)),""ibiza""), ""acc_140"",
  REGEXMATCH(LOWER"&amp;"(TRIM(U125)),""mallorca""), ""acc_140"",
  REGEXMATCH(LOWER(TRIM(U125)),""menorca""), ""acc_150"",
  TRUE, """"
)
"),"acc_148")</f>
        <v>acc_148</v>
      </c>
      <c r="I125" s="10" t="s">
        <v>527</v>
      </c>
      <c r="K125" s="1" t="s">
        <v>197</v>
      </c>
      <c r="L125" s="11" t="str">
        <f>IFERROR(__xludf.DUMMYFUNCTION("LET(
  s, UPPER(TRIM(T125)),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25" s="13">
        <v>45919.0</v>
      </c>
      <c r="N125" s="10" t="str">
        <f t="shared" ref="N125:O125" si="124">V125</f>
        <v>Alfonso </v>
      </c>
      <c r="O125" s="10" t="str">
        <f t="shared" si="124"/>
        <v>2 cajas</v>
      </c>
      <c r="P125" s="10"/>
      <c r="Q125" s="10"/>
      <c r="S125" s="14" t="b">
        <v>0</v>
      </c>
      <c r="T125" s="14" t="s">
        <v>199</v>
      </c>
      <c r="U125" s="14" t="s">
        <v>200</v>
      </c>
      <c r="V125" s="14" t="s">
        <v>201</v>
      </c>
      <c r="W125" s="10" t="s">
        <v>202</v>
      </c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</row>
    <row r="126">
      <c r="A126" s="1" t="s">
        <v>528</v>
      </c>
      <c r="B126" s="10" t="s">
        <v>106</v>
      </c>
      <c r="C126" s="11" t="str">
        <f>IFERROR(__xludf.DUMMYFUNCTION("IFS(
  REGEXMATCH(LOWER(TRIM(N126)),""nico""), ""us_001"",
  REGEXMATCH(LOWER(TRIM(N126)),""alfonso""), ""us_002"",
  REGEXMATCH(LOWER(TRIM(N126)),""patxi""), ""us_003"",
  REGEXMATCH(LOWER(TRIM(N126)),""martin""), ""us_004"",
  TRUE, ""us_999""
)"),"us_002")</f>
        <v>us_002</v>
      </c>
      <c r="D126" s="10" t="str">
        <f>IFERROR(__xludf.DUMMYFUNCTION("""COMPUTED_VALUE"""),"us_002")</f>
        <v>us_002</v>
      </c>
      <c r="E126" s="11" t="s">
        <v>196</v>
      </c>
      <c r="F126" s="11" t="str">
        <f>IFERROR(__xludf.DUMMYFUNCTION("LET(
  s, UPPER(TRIM(N126)),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26" s="1" t="s">
        <v>197</v>
      </c>
      <c r="H126" s="12" t="str">
        <f>IFERROR(__xludf.DUMMYFUNCTION("IFS(
  REGEXMATCH(LOWER(TRIM(U126)),""barcelona""), ""acc_139"",
  REGEXMATCH(LOWER(TRIM(U126)),""madrid""), ""acc_148"",
  REGEXMATCH(LOWER(TRIM(U126)),""zaragoza""), ""acc_149"",
  REGEXMATCH(LOWER(TRIM(U126)),""ibiza""), ""acc_140"",
  REGEXMATCH(LOWER"&amp;"(TRIM(U126)),""mallorca""), ""acc_140"",
  REGEXMATCH(LOWER(TRIM(U126)),""menorca""), ""acc_150"",
  TRUE, """"
)
"),"acc_148")</f>
        <v>acc_148</v>
      </c>
      <c r="I126" s="10" t="s">
        <v>529</v>
      </c>
      <c r="K126" s="1" t="s">
        <v>197</v>
      </c>
      <c r="L126" s="11" t="str">
        <f>IFERROR(__xludf.DUMMYFUNCTION("LET(
  s, UPPER(TRIM(T126)),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26" s="13">
        <v>45919.0</v>
      </c>
      <c r="N126" s="10" t="str">
        <f t="shared" ref="N126:O126" si="125">V126</f>
        <v>Alfonso </v>
      </c>
      <c r="O126" s="10" t="str">
        <f t="shared" si="125"/>
        <v>1 caja</v>
      </c>
      <c r="P126" s="10"/>
      <c r="Q126" s="10"/>
      <c r="S126" s="14" t="b">
        <v>0</v>
      </c>
      <c r="T126" s="14" t="s">
        <v>199</v>
      </c>
      <c r="U126" s="14" t="s">
        <v>200</v>
      </c>
      <c r="V126" s="14" t="s">
        <v>201</v>
      </c>
      <c r="W126" s="10" t="s">
        <v>287</v>
      </c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</row>
    <row r="127">
      <c r="A127" s="1" t="s">
        <v>530</v>
      </c>
      <c r="B127" s="10" t="s">
        <v>531</v>
      </c>
      <c r="C127" s="11" t="str">
        <f>IFERROR(__xludf.DUMMYFUNCTION("IFS(
  REGEXMATCH(LOWER(TRIM(N127)),""nico""), ""us_001"",
  REGEXMATCH(LOWER(TRIM(N127)),""alfonso""), ""us_002"",
  REGEXMATCH(LOWER(TRIM(N127)),""patxi""), ""us_003"",
  REGEXMATCH(LOWER(TRIM(N127)),""martin""), ""us_004"",
  TRUE, ""us_999""
)"),"us_001")</f>
        <v>us_001</v>
      </c>
      <c r="D127" s="10" t="str">
        <f>IFERROR(__xludf.DUMMYFUNCTION("""COMPUTED_VALUE"""),"us_001")</f>
        <v>us_001</v>
      </c>
      <c r="E127" s="11" t="s">
        <v>196</v>
      </c>
      <c r="F127" s="11" t="str">
        <f>IFERROR(__xludf.DUMMYFUNCTION("LET(
  s, UPPER(TRIM(N127)),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27" s="1" t="s">
        <v>197</v>
      </c>
      <c r="H127" s="12" t="str">
        <f>IFERROR(__xludf.DUMMYFUNCTION("IFS(
  REGEXMATCH(LOWER(TRIM(U127)),""barcelona""), ""acc_139"",
  REGEXMATCH(LOWER(TRIM(U127)),""madrid""), ""acc_148"",
  REGEXMATCH(LOWER(TRIM(U127)),""zaragoza""), ""acc_149"",
  REGEXMATCH(LOWER(TRIM(U127)),""ibiza""), ""acc_140"",
  REGEXMATCH(LOWER"&amp;"(TRIM(U127)),""mallorca""), ""acc_140"",
  REGEXMATCH(LOWER(TRIM(U127)),""menorca""), ""acc_150"",
  TRUE, """"
)
"),"acc_148")</f>
        <v>acc_148</v>
      </c>
      <c r="I127" s="10" t="s">
        <v>532</v>
      </c>
      <c r="K127" s="1" t="s">
        <v>197</v>
      </c>
      <c r="L127" s="11" t="str">
        <f>IFERROR(__xludf.DUMMYFUNCTION("LET(
  s, UPPER(TRIM(T127)),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27" s="15">
        <v>45917.0</v>
      </c>
      <c r="N127" s="10" t="str">
        <f t="shared" ref="N127:O127" si="126">V127</f>
        <v>Nico</v>
      </c>
      <c r="O127" s="10" t="str">
        <f t="shared" si="126"/>
        <v/>
      </c>
      <c r="P127" s="10"/>
      <c r="Q127" s="10"/>
      <c r="S127" s="14" t="b">
        <v>0</v>
      </c>
      <c r="T127" s="14" t="s">
        <v>199</v>
      </c>
      <c r="U127" s="14" t="s">
        <v>200</v>
      </c>
      <c r="V127" s="14" t="s">
        <v>206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</row>
    <row r="128">
      <c r="A128" s="1" t="s">
        <v>533</v>
      </c>
      <c r="B128" s="10" t="s">
        <v>534</v>
      </c>
      <c r="C128" s="11" t="str">
        <f>IFERROR(__xludf.DUMMYFUNCTION("IFS(
  REGEXMATCH(LOWER(TRIM(N128)),""nico""), ""us_001"",
  REGEXMATCH(LOWER(TRIM(N128)),""alfonso""), ""us_002"",
  REGEXMATCH(LOWER(TRIM(N128)),""patxi""), ""us_003"",
  REGEXMATCH(LOWER(TRIM(N128)),""martin""), ""us_004"",
  TRUE, ""us_999""
)"),"us_001")</f>
        <v>us_001</v>
      </c>
      <c r="D128" s="10" t="str">
        <f>IFERROR(__xludf.DUMMYFUNCTION("""COMPUTED_VALUE"""),"us_001")</f>
        <v>us_001</v>
      </c>
      <c r="E128" s="11" t="s">
        <v>196</v>
      </c>
      <c r="F128" s="11" t="str">
        <f>IFERROR(__xludf.DUMMYFUNCTION("LET(
  s, UPPER(TRIM(N128)),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28" s="1" t="s">
        <v>197</v>
      </c>
      <c r="H128" s="12" t="str">
        <f>IFERROR(__xludf.DUMMYFUNCTION("IFS(
  REGEXMATCH(LOWER(TRIM(U128)),""barcelona""), ""acc_139"",
  REGEXMATCH(LOWER(TRIM(U128)),""madrid""), ""acc_148"",
  REGEXMATCH(LOWER(TRIM(U128)),""zaragoza""), ""acc_149"",
  REGEXMATCH(LOWER(TRIM(U128)),""ibiza""), ""acc_140"",
  REGEXMATCH(LOWER"&amp;"(TRIM(U128)),""mallorca""), ""acc_140"",
  REGEXMATCH(LOWER(TRIM(U128)),""menorca""), ""acc_150"",
  TRUE, """"
)
"),"acc_148")</f>
        <v>acc_148</v>
      </c>
      <c r="I128" s="10" t="s">
        <v>535</v>
      </c>
      <c r="K128" s="1" t="s">
        <v>197</v>
      </c>
      <c r="L128" s="11" t="str">
        <f>IFERROR(__xludf.DUMMYFUNCTION("LET(
  s, UPPER(TRIM(T128)),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28" s="15">
        <v>45916.0</v>
      </c>
      <c r="N128" s="10" t="str">
        <f t="shared" ref="N128:O128" si="127">V128</f>
        <v>Nico</v>
      </c>
      <c r="O128" s="10" t="str">
        <f t="shared" si="127"/>
        <v/>
      </c>
      <c r="P128" s="10"/>
      <c r="Q128" s="10"/>
      <c r="S128" s="14" t="b">
        <v>0</v>
      </c>
      <c r="T128" s="14" t="s">
        <v>199</v>
      </c>
      <c r="U128" s="14" t="s">
        <v>200</v>
      </c>
      <c r="V128" s="14" t="s">
        <v>206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</row>
    <row r="129">
      <c r="A129" s="1" t="s">
        <v>536</v>
      </c>
      <c r="B129" s="10" t="s">
        <v>537</v>
      </c>
      <c r="C129" s="11" t="str">
        <f>IFERROR(__xludf.DUMMYFUNCTION("IFS(
  REGEXMATCH(LOWER(TRIM(N129)),""nico""), ""us_001"",
  REGEXMATCH(LOWER(TRIM(N129)),""alfonso""), ""us_002"",
  REGEXMATCH(LOWER(TRIM(N129)),""patxi""), ""us_003"",
  REGEXMATCH(LOWER(TRIM(N129)),""martin""), ""us_004"",
  TRUE, ""us_999""
)"),"us_001")</f>
        <v>us_001</v>
      </c>
      <c r="D129" s="10" t="str">
        <f>IFERROR(__xludf.DUMMYFUNCTION("""COMPUTED_VALUE"""),"us_001")</f>
        <v>us_001</v>
      </c>
      <c r="E129" s="11" t="s">
        <v>196</v>
      </c>
      <c r="F129" s="11" t="str">
        <f>IFERROR(__xludf.DUMMYFUNCTION("LET(
  s, UPPER(TRIM(N129)),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29" s="1" t="s">
        <v>197</v>
      </c>
      <c r="H129" s="12" t="str">
        <f>IFERROR(__xludf.DUMMYFUNCTION("IFS(
  REGEXMATCH(LOWER(TRIM(U129)),""barcelona""), ""acc_139"",
  REGEXMATCH(LOWER(TRIM(U129)),""madrid""), ""acc_148"",
  REGEXMATCH(LOWER(TRIM(U129)),""zaragoza""), ""acc_149"",
  REGEXMATCH(LOWER(TRIM(U129)),""ibiza""), ""acc_140"",
  REGEXMATCH(LOWER"&amp;"(TRIM(U129)),""mallorca""), ""acc_140"",
  REGEXMATCH(LOWER(TRIM(U129)),""menorca""), ""acc_150"",
  TRUE, """"
)
"),"acc_148")</f>
        <v>acc_148</v>
      </c>
      <c r="I129" s="10" t="s">
        <v>538</v>
      </c>
      <c r="K129" s="1" t="s">
        <v>197</v>
      </c>
      <c r="L129" s="11" t="str">
        <f>IFERROR(__xludf.DUMMYFUNCTION("LET(
  s, UPPER(TRIM(T129)),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29" s="15">
        <v>45929.0</v>
      </c>
      <c r="N129" s="10" t="str">
        <f t="shared" ref="N129:O129" si="128">V129</f>
        <v>Nico</v>
      </c>
      <c r="O129" s="10" t="str">
        <f t="shared" si="128"/>
        <v/>
      </c>
      <c r="P129" s="10"/>
      <c r="Q129" s="10"/>
      <c r="S129" s="14" t="b">
        <v>0</v>
      </c>
      <c r="T129" s="14" t="s">
        <v>199</v>
      </c>
      <c r="U129" s="14" t="s">
        <v>200</v>
      </c>
      <c r="V129" s="14" t="s">
        <v>206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</row>
    <row r="130">
      <c r="A130" s="1" t="s">
        <v>539</v>
      </c>
      <c r="B130" s="10" t="s">
        <v>540</v>
      </c>
      <c r="C130" s="11" t="str">
        <f>IFERROR(__xludf.DUMMYFUNCTION("IFS(
  REGEXMATCH(LOWER(TRIM(N130)),""nico""), ""us_001"",
  REGEXMATCH(LOWER(TRIM(N130)),""alfonso""), ""us_002"",
  REGEXMATCH(LOWER(TRIM(N130)),""patxi""), ""us_003"",
  REGEXMATCH(LOWER(TRIM(N130)),""martin""), ""us_004"",
  TRUE, ""us_999""
)"),"us_001")</f>
        <v>us_001</v>
      </c>
      <c r="D130" s="10" t="str">
        <f>IFERROR(__xludf.DUMMYFUNCTION("""COMPUTED_VALUE"""),"us_001")</f>
        <v>us_001</v>
      </c>
      <c r="E130" s="11" t="s">
        <v>196</v>
      </c>
      <c r="F130" s="11" t="str">
        <f>IFERROR(__xludf.DUMMYFUNCTION("LET(
  s, UPPER(TRIM(N130)),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30" s="1" t="s">
        <v>197</v>
      </c>
      <c r="H130" s="12" t="str">
        <f>IFERROR(__xludf.DUMMYFUNCTION("IFS(
  REGEXMATCH(LOWER(TRIM(U130)),""barcelona""), ""acc_139"",
  REGEXMATCH(LOWER(TRIM(U130)),""madrid""), ""acc_148"",
  REGEXMATCH(LOWER(TRIM(U130)),""zaragoza""), ""acc_149"",
  REGEXMATCH(LOWER(TRIM(U130)),""ibiza""), ""acc_140"",
  REGEXMATCH(LOWER"&amp;"(TRIM(U130)),""mallorca""), ""acc_140"",
  REGEXMATCH(LOWER(TRIM(U130)),""menorca""), ""acc_150"",
  TRUE, """"
)
"),"acc_148")</f>
        <v>acc_148</v>
      </c>
      <c r="I130" s="10" t="s">
        <v>532</v>
      </c>
      <c r="K130" s="1" t="s">
        <v>197</v>
      </c>
      <c r="L130" s="11" t="str">
        <f>IFERROR(__xludf.DUMMYFUNCTION("LET(
  s, UPPER(TRIM(T130)),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"),"ACTIVA")</f>
        <v>ACTIVA</v>
      </c>
      <c r="M130" s="15">
        <v>45917.0</v>
      </c>
      <c r="N130" s="10" t="str">
        <f t="shared" ref="N130:O130" si="129">V130</f>
        <v>Nico</v>
      </c>
      <c r="O130" s="10" t="str">
        <f t="shared" si="129"/>
        <v/>
      </c>
      <c r="P130" s="10"/>
      <c r="Q130" s="10"/>
      <c r="S130" s="14" t="b">
        <v>0</v>
      </c>
      <c r="T130" s="14" t="s">
        <v>199</v>
      </c>
      <c r="U130" s="14" t="s">
        <v>200</v>
      </c>
      <c r="V130" s="14" t="s">
        <v>206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</row>
    <row r="131">
      <c r="A131" s="1" t="s">
        <v>541</v>
      </c>
      <c r="B131" s="10" t="s">
        <v>542</v>
      </c>
      <c r="C131" s="11" t="str">
        <f>IFERROR(__xludf.DUMMYFUNCTION("IFS(
  REGEXMATCH(LOWER(TRIM(N131)),""nico""), ""us_001"",
  REGEXMATCH(LOWER(TRIM(N131)),""alfonso""), ""us_002"",
  REGEXMATCH(LOWER(TRIM(N131)),""patxi""), ""us_003"",
  REGEXMATCH(LOWER(TRIM(N131)),""martin""), ""us_004"",
  TRUE, ""us_999""
)"),"us_002")</f>
        <v>us_002</v>
      </c>
      <c r="D131" s="10" t="str">
        <f>IFERROR(__xludf.DUMMYFUNCTION("""COMPUTED_VALUE"""),"us_002")</f>
        <v>us_002</v>
      </c>
      <c r="E131" s="11" t="s">
        <v>196</v>
      </c>
      <c r="F131" s="11" t="str">
        <f>IFERROR(__xludf.DUMMYFUNCTION("LET(
  s, UPPER(TRIM(N131)),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31" s="1" t="s">
        <v>197</v>
      </c>
      <c r="H131" s="12" t="str">
        <f>IFERROR(__xludf.DUMMYFUNCTION("IFS(
  REGEXMATCH(LOWER(TRIM(U131)),""barcelona""), ""acc_139"",
  REGEXMATCH(LOWER(TRIM(U131)),""madrid""), ""acc_148"",
  REGEXMATCH(LOWER(TRIM(U131)),""zaragoza""), ""acc_149"",
  REGEXMATCH(LOWER(TRIM(U131)),""ibiza""), ""acc_140"",
  REGEXMATCH(LOWER"&amp;"(TRIM(U131)),""mallorca""), ""acc_140"",
  REGEXMATCH(LOWER(TRIM(U131)),""menorca""), ""acc_150"",
  TRUE, """"
)
"),"acc_148")</f>
        <v>acc_148</v>
      </c>
      <c r="I131" s="10" t="s">
        <v>543</v>
      </c>
      <c r="K131" s="1" t="s">
        <v>197</v>
      </c>
      <c r="L131" s="11" t="str">
        <f>IFERROR(__xludf.DUMMYFUNCTION("LET(
  s, UPPER(TRIM(T131)),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31" s="13"/>
      <c r="N131" s="10" t="str">
        <f t="shared" ref="N131:O131" si="130">V131</f>
        <v>Alfonso </v>
      </c>
      <c r="O131" s="10" t="str">
        <f t="shared" si="130"/>
        <v/>
      </c>
      <c r="P131" s="10"/>
      <c r="Q131" s="10"/>
      <c r="S131" s="14" t="b">
        <v>0</v>
      </c>
      <c r="T131" s="14" t="s">
        <v>348</v>
      </c>
      <c r="U131" s="14" t="s">
        <v>200</v>
      </c>
      <c r="V131" s="14" t="s">
        <v>201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</row>
    <row r="132">
      <c r="A132" s="1" t="s">
        <v>544</v>
      </c>
      <c r="B132" s="10" t="s">
        <v>545</v>
      </c>
      <c r="C132" s="11"/>
      <c r="D132" s="10"/>
      <c r="E132" s="11" t="s">
        <v>196</v>
      </c>
      <c r="F132" s="11" t="str">
        <f>IFERROR(__xludf.DUMMYFUNCTION("LET(
  s, UPPER(TRIM(N132)),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32" s="1" t="s">
        <v>197</v>
      </c>
      <c r="H132" s="12" t="str">
        <f>IFERROR(__xludf.DUMMYFUNCTION("IFS(
  REGEXMATCH(LOWER(TRIM(U132)),""barcelona""), ""acc_139"",
  REGEXMATCH(LOWER(TRIM(U132)),""madrid""), ""acc_148"",
  REGEXMATCH(LOWER(TRIM(U132)),""zaragoza""), ""acc_149"",
  REGEXMATCH(LOWER(TRIM(U132)),""ibiza""), ""acc_140"",
  REGEXMATCH(LOWER"&amp;"(TRIM(U132)),""mallorca""), ""acc_140"",
  REGEXMATCH(LOWER(TRIM(U132)),""menorca""), ""acc_150"",
  TRUE, """"
)
"),"")</f>
        <v/>
      </c>
      <c r="I132" s="10"/>
      <c r="K132" s="1" t="s">
        <v>197</v>
      </c>
      <c r="L132" s="11" t="str">
        <f>IFERROR(__xludf.DUMMYFUNCTION("LET(
  s, UPPER(TRIM(T132)),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32" s="13"/>
      <c r="N132" s="10" t="str">
        <f t="shared" ref="N132:O132" si="131">V132</f>
        <v/>
      </c>
      <c r="O132" s="10" t="str">
        <f t="shared" si="131"/>
        <v/>
      </c>
      <c r="P132" s="10"/>
      <c r="Q132" s="10"/>
      <c r="S132" s="14" t="b">
        <v>0</v>
      </c>
      <c r="T132" s="16"/>
      <c r="U132" s="16"/>
      <c r="V132" s="16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</row>
    <row r="133">
      <c r="A133" s="1" t="s">
        <v>546</v>
      </c>
      <c r="B133" s="10" t="s">
        <v>547</v>
      </c>
      <c r="C133" s="11"/>
      <c r="D133" s="10"/>
      <c r="E133" s="11" t="s">
        <v>196</v>
      </c>
      <c r="F133" s="11" t="str">
        <f>IFERROR(__xludf.DUMMYFUNCTION("LET(
  s, UPPER(TRIM(N133)),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33" s="1" t="s">
        <v>197</v>
      </c>
      <c r="H133" s="12" t="str">
        <f>IFERROR(__xludf.DUMMYFUNCTION("IFS(
  REGEXMATCH(LOWER(TRIM(U133)),""barcelona""), ""acc_139"",
  REGEXMATCH(LOWER(TRIM(U133)),""madrid""), ""acc_148"",
  REGEXMATCH(LOWER(TRIM(U133)),""zaragoza""), ""acc_149"",
  REGEXMATCH(LOWER(TRIM(U133)),""ibiza""), ""acc_140"",
  REGEXMATCH(LOWER"&amp;"(TRIM(U133)),""mallorca""), ""acc_140"",
  REGEXMATCH(LOWER(TRIM(U133)),""menorca""), ""acc_150"",
  TRUE, """"
)
"),"")</f>
        <v/>
      </c>
      <c r="I133" s="10" t="s">
        <v>548</v>
      </c>
      <c r="K133" s="1" t="s">
        <v>197</v>
      </c>
      <c r="L133" s="11" t="str">
        <f>IFERROR(__xludf.DUMMYFUNCTION("LET(
  s, UPPER(TRIM(T133)),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33" s="13"/>
      <c r="N133" s="10" t="str">
        <f t="shared" ref="N133:O133" si="132">V133</f>
        <v/>
      </c>
      <c r="O133" s="10" t="str">
        <f t="shared" si="132"/>
        <v/>
      </c>
      <c r="P133" s="10"/>
      <c r="Q133" s="10"/>
      <c r="S133" s="14" t="b">
        <v>0</v>
      </c>
      <c r="T133" s="16"/>
      <c r="U133" s="16"/>
      <c r="V133" s="16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</row>
    <row r="134">
      <c r="A134" s="1" t="s">
        <v>549</v>
      </c>
      <c r="B134" s="10" t="s">
        <v>550</v>
      </c>
      <c r="C134" s="11"/>
      <c r="D134" s="10"/>
      <c r="E134" s="11" t="s">
        <v>196</v>
      </c>
      <c r="F134" s="11" t="str">
        <f>IFERROR(__xludf.DUMMYFUNCTION("LET(
  s, UPPER(TRIM(N134)),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34" s="1" t="s">
        <v>197</v>
      </c>
      <c r="H134" s="12" t="str">
        <f>IFERROR(__xludf.DUMMYFUNCTION("IFS(
  REGEXMATCH(LOWER(TRIM(U134)),""barcelona""), ""acc_139"",
  REGEXMATCH(LOWER(TRIM(U134)),""madrid""), ""acc_148"",
  REGEXMATCH(LOWER(TRIM(U134)),""zaragoza""), ""acc_149"",
  REGEXMATCH(LOWER(TRIM(U134)),""ibiza""), ""acc_140"",
  REGEXMATCH(LOWER"&amp;"(TRIM(U134)),""mallorca""), ""acc_140"",
  REGEXMATCH(LOWER(TRIM(U134)),""menorca""), ""acc_150"",
  TRUE, """"
)
"),"")</f>
        <v/>
      </c>
      <c r="I134" s="10" t="s">
        <v>551</v>
      </c>
      <c r="K134" s="1" t="s">
        <v>197</v>
      </c>
      <c r="L134" s="11" t="str">
        <f>IFERROR(__xludf.DUMMYFUNCTION("LET(
  s, UPPER(TRIM(T134)),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34" s="13"/>
      <c r="N134" s="10" t="str">
        <f t="shared" ref="N134:O134" si="133">V134</f>
        <v/>
      </c>
      <c r="O134" s="10" t="str">
        <f t="shared" si="133"/>
        <v/>
      </c>
      <c r="P134" s="10"/>
      <c r="Q134" s="10"/>
      <c r="S134" s="14" t="b">
        <v>0</v>
      </c>
      <c r="T134" s="16"/>
      <c r="U134" s="16"/>
      <c r="V134" s="16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</row>
    <row r="135">
      <c r="A135" s="1" t="s">
        <v>552</v>
      </c>
      <c r="B135" s="10" t="s">
        <v>553</v>
      </c>
      <c r="C135" s="11"/>
      <c r="D135" s="10"/>
      <c r="E135" s="11" t="s">
        <v>196</v>
      </c>
      <c r="F135" s="11" t="str">
        <f>IFERROR(__xludf.DUMMYFUNCTION("LET(
  s, UPPER(TRIM(N135)),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35" s="1" t="s">
        <v>197</v>
      </c>
      <c r="H135" s="12" t="str">
        <f>IFERROR(__xludf.DUMMYFUNCTION("IFS(
  REGEXMATCH(LOWER(TRIM(U135)),""barcelona""), ""acc_139"",
  REGEXMATCH(LOWER(TRIM(U135)),""madrid""), ""acc_148"",
  REGEXMATCH(LOWER(TRIM(U135)),""zaragoza""), ""acc_149"",
  REGEXMATCH(LOWER(TRIM(U135)),""ibiza""), ""acc_140"",
  REGEXMATCH(LOWER"&amp;"(TRIM(U135)),""mallorca""), ""acc_140"",
  REGEXMATCH(LOWER(TRIM(U135)),""menorca""), ""acc_150"",
  TRUE, """"
)
"),"")</f>
        <v/>
      </c>
      <c r="I135" s="10" t="s">
        <v>554</v>
      </c>
      <c r="K135" s="1" t="s">
        <v>197</v>
      </c>
      <c r="L135" s="11" t="str">
        <f>IFERROR(__xludf.DUMMYFUNCTION("LET(
  s, UPPER(TRIM(T135)),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35" s="13"/>
      <c r="N135" s="10" t="str">
        <f t="shared" ref="N135:O135" si="134">V135</f>
        <v/>
      </c>
      <c r="O135" s="10" t="str">
        <f t="shared" si="134"/>
        <v/>
      </c>
      <c r="P135" s="10"/>
      <c r="Q135" s="10"/>
      <c r="S135" s="14" t="b">
        <v>0</v>
      </c>
      <c r="T135" s="16"/>
      <c r="U135" s="16"/>
      <c r="V135" s="16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</row>
    <row r="136">
      <c r="A136" s="1" t="s">
        <v>555</v>
      </c>
      <c r="B136" s="10" t="s">
        <v>556</v>
      </c>
      <c r="C136" s="11"/>
      <c r="D136" s="10"/>
      <c r="E136" s="11" t="s">
        <v>196</v>
      </c>
      <c r="F136" s="11" t="str">
        <f>IFERROR(__xludf.DUMMYFUNCTION("LET(
  s, UPPER(TRIM(N136)),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36" s="1" t="s">
        <v>197</v>
      </c>
      <c r="H136" s="12" t="str">
        <f>IFERROR(__xludf.DUMMYFUNCTION("IFS(
  REGEXMATCH(LOWER(TRIM(U136)),""barcelona""), ""acc_139"",
  REGEXMATCH(LOWER(TRIM(U136)),""madrid""), ""acc_148"",
  REGEXMATCH(LOWER(TRIM(U136)),""zaragoza""), ""acc_149"",
  REGEXMATCH(LOWER(TRIM(U136)),""ibiza""), ""acc_140"",
  REGEXMATCH(LOWER"&amp;"(TRIM(U136)),""mallorca""), ""acc_140"",
  REGEXMATCH(LOWER(TRIM(U136)),""menorca""), ""acc_150"",
  TRUE, """"
)
"),"")</f>
        <v/>
      </c>
      <c r="I136" s="10" t="s">
        <v>497</v>
      </c>
      <c r="K136" s="1" t="s">
        <v>197</v>
      </c>
      <c r="L136" s="11" t="str">
        <f>IFERROR(__xludf.DUMMYFUNCTION("LET(
  s, UPPER(TRIM(T136)),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36" s="13"/>
      <c r="N136" s="10" t="str">
        <f t="shared" ref="N136:O136" si="135">V136</f>
        <v/>
      </c>
      <c r="O136" s="10" t="str">
        <f t="shared" si="135"/>
        <v/>
      </c>
      <c r="P136" s="10"/>
      <c r="Q136" s="10"/>
      <c r="S136" s="14" t="b">
        <v>0</v>
      </c>
      <c r="T136" s="16"/>
      <c r="U136" s="16"/>
      <c r="V136" s="16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</row>
    <row r="137">
      <c r="A137" s="1" t="s">
        <v>557</v>
      </c>
      <c r="B137" s="10" t="s">
        <v>558</v>
      </c>
      <c r="C137" s="11"/>
      <c r="D137" s="10"/>
      <c r="E137" s="11" t="s">
        <v>196</v>
      </c>
      <c r="F137" s="11" t="str">
        <f>IFERROR(__xludf.DUMMYFUNCTION("LET(
  s, UPPER(TRIM(N137)),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37" s="1" t="s">
        <v>197</v>
      </c>
      <c r="H137" s="12" t="str">
        <f>IFERROR(__xludf.DUMMYFUNCTION("IFS(
  REGEXMATCH(LOWER(TRIM(U137)),""barcelona""), ""acc_139"",
  REGEXMATCH(LOWER(TRIM(U137)),""madrid""), ""acc_148"",
  REGEXMATCH(LOWER(TRIM(U137)),""zaragoza""), ""acc_149"",
  REGEXMATCH(LOWER(TRIM(U137)),""ibiza""), ""acc_140"",
  REGEXMATCH(LOWER"&amp;"(TRIM(U137)),""mallorca""), ""acc_140"",
  REGEXMATCH(LOWER(TRIM(U137)),""menorca""), ""acc_150"",
  TRUE, """"
)
"),"")</f>
        <v/>
      </c>
      <c r="I137" s="10" t="s">
        <v>559</v>
      </c>
      <c r="K137" s="1" t="s">
        <v>197</v>
      </c>
      <c r="L137" s="11" t="str">
        <f>IFERROR(__xludf.DUMMYFUNCTION("LET(
  s, UPPER(TRIM(T137)),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37" s="13"/>
      <c r="N137" s="10" t="str">
        <f t="shared" ref="N137:O137" si="136">V137</f>
        <v/>
      </c>
      <c r="O137" s="10" t="str">
        <f t="shared" si="136"/>
        <v/>
      </c>
      <c r="P137" s="10"/>
      <c r="Q137" s="10"/>
      <c r="S137" s="14" t="b">
        <v>0</v>
      </c>
      <c r="T137" s="16"/>
      <c r="U137" s="16"/>
      <c r="V137" s="16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</row>
    <row r="138">
      <c r="A138" s="1" t="s">
        <v>560</v>
      </c>
      <c r="B138" s="10" t="s">
        <v>561</v>
      </c>
      <c r="C138" s="11"/>
      <c r="D138" s="10"/>
      <c r="E138" s="11" t="s">
        <v>196</v>
      </c>
      <c r="F138" s="11" t="str">
        <f>IFERROR(__xludf.DUMMYFUNCTION("LET(
  s, UPPER(TRIM(N138)),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38" s="1" t="s">
        <v>197</v>
      </c>
      <c r="H138" s="12" t="str">
        <f>IFERROR(__xludf.DUMMYFUNCTION("IFS(
  REGEXMATCH(LOWER(TRIM(U138)),""barcelona""), ""acc_139"",
  REGEXMATCH(LOWER(TRIM(U138)),""madrid""), ""acc_148"",
  REGEXMATCH(LOWER(TRIM(U138)),""zaragoza""), ""acc_149"",
  REGEXMATCH(LOWER(TRIM(U138)),""ibiza""), ""acc_140"",
  REGEXMATCH(LOWER"&amp;"(TRIM(U138)),""mallorca""), ""acc_140"",
  REGEXMATCH(LOWER(TRIM(U138)),""menorca""), ""acc_150"",
  TRUE, """"
)
"),"")</f>
        <v/>
      </c>
      <c r="I138" s="10" t="s">
        <v>562</v>
      </c>
      <c r="K138" s="1" t="s">
        <v>197</v>
      </c>
      <c r="L138" s="11" t="str">
        <f>IFERROR(__xludf.DUMMYFUNCTION("LET(
  s, UPPER(TRIM(T138)),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38" s="13"/>
      <c r="N138" s="10" t="str">
        <f t="shared" ref="N138:O138" si="137">V138</f>
        <v/>
      </c>
      <c r="O138" s="10" t="str">
        <f t="shared" si="137"/>
        <v/>
      </c>
      <c r="P138" s="10"/>
      <c r="Q138" s="10"/>
      <c r="S138" s="14" t="b">
        <v>0</v>
      </c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</row>
    <row r="139">
      <c r="A139" s="1" t="s">
        <v>563</v>
      </c>
      <c r="B139" s="10" t="s">
        <v>564</v>
      </c>
      <c r="C139" s="11"/>
      <c r="D139" s="10"/>
      <c r="E139" s="11" t="s">
        <v>196</v>
      </c>
      <c r="F139" s="11" t="str">
        <f>IFERROR(__xludf.DUMMYFUNCTION("LET(
  s, UPPER(TRIM(N139)),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G139" s="1" t="s">
        <v>197</v>
      </c>
      <c r="H139" s="12" t="str">
        <f>IFERROR(__xludf.DUMMYFUNCTION("IFS(
  REGEXMATCH(LOWER(TRIM(U139)),""barcelona""), ""acc_139"",
  REGEXMATCH(LOWER(TRIM(U139)),""madrid""), ""acc_148"",
  REGEXMATCH(LOWER(TRIM(U139)),""zaragoza""), ""acc_149"",
  REGEXMATCH(LOWER(TRIM(U139)),""ibiza""), ""acc_140"",
  REGEXMATCH(LOWER"&amp;"(TRIM(U139)),""mallorca""), ""acc_140"",
  REGEXMATCH(LOWER(TRIM(U139)),""menorca""), ""acc_150"",
  TRUE, """"
)
"),"")</f>
        <v/>
      </c>
      <c r="I139" s="10"/>
      <c r="K139" s="1" t="s">
        <v>197</v>
      </c>
      <c r="L139" s="11" t="str">
        <f>IFERROR(__xludf.DUMMYFUNCTION("LET(
  s, UPPER(TRIM(T139)),
  IF(REGEXMATCH(s,""CLOSED.*WON""), ""ACTIVA"",
  IF(REGEXMATCH(s,""CLOSED.*LOST""), ""FALLIDA"",
  IF(REGEXMATCH(s,""CONTACT.*NEXT.*SEASON""), ""POTENCIAL"",
  IF(REGEXMATCH(s,""\bLEAD\b""), ""LEAD"",
  IF(REGEXMATCH(s,""INTE"&amp;"REST|POTENTIAL""), ""SEGUIMIENTO"",
  ""SEGUIMIENTO"")))))
)
"),"SEGUIMIENTO")</f>
        <v>SEGUIMIENTO</v>
      </c>
      <c r="M139" s="13"/>
      <c r="N139" s="10" t="str">
        <f t="shared" ref="N139:O139" si="138">V139</f>
        <v/>
      </c>
      <c r="O139" s="10" t="str">
        <f t="shared" si="138"/>
        <v/>
      </c>
      <c r="P139" s="10"/>
      <c r="Q139" s="10"/>
      <c r="S139" s="14" t="b">
        <v>0</v>
      </c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</row>
    <row r="140">
      <c r="A140" s="1" t="s">
        <v>565</v>
      </c>
      <c r="B140" s="18" t="s">
        <v>121</v>
      </c>
      <c r="C140" s="11" t="str">
        <f>IFERROR(__xludf.DUMMYFUNCTION("IFS(
  REGEXMATCH(LOWER(TRIM(N140)),""nico""), ""us_001"",
  REGEXMATCH(LOWER(TRIM(N140)),""alfonso""), ""us_002"",
  REGEXMATCH(LOWER(TRIM(N140)),""patxi""), ""us_003"",
  REGEXMATCH(LOWER(TRIM(N140)),""martin""), ""us_004"",
  TRUE, ""us_999""
)"),"us_003")</f>
        <v>us_003</v>
      </c>
      <c r="D140" s="18" t="str">
        <f>IFERROR(__xludf.DUMMYFUNCTION("""COMPUTED_VALUE"""),"us_003")</f>
        <v>us_003</v>
      </c>
      <c r="E140" s="1" t="s">
        <v>193</v>
      </c>
      <c r="F140" s="1" t="s">
        <v>566</v>
      </c>
      <c r="G140" s="1" t="s">
        <v>567</v>
      </c>
      <c r="H140" s="12" t="str">
        <f>IFERROR(__xludf.DUMMYFUNCTION("IFS(
  REGEXMATCH(LOWER(TRIM(U140)),""barcelona""), ""acc_139"",
  REGEXMATCH(LOWER(TRIM(U140)),""madrid""), ""acc_148"",
  REGEXMATCH(LOWER(TRIM(U140)),""zaragoza""), ""acc_149"",
  REGEXMATCH(LOWER(TRIM(U140)),""ibiza""), ""acc_140"",
  REGEXMATCH(LOWER"&amp;"(TRIM(U140)),""mallorca""), ""acc_140"",
  REGEXMATCH(LOWER(TRIM(U140)),""menorca""), ""acc_150"",
  TRUE, """"
)
"),"")</f>
        <v/>
      </c>
      <c r="L140" s="1" t="s">
        <v>566</v>
      </c>
      <c r="M140" s="19">
        <v>45926.0</v>
      </c>
      <c r="N140" s="10" t="s">
        <v>568</v>
      </c>
      <c r="O140" s="11" t="s">
        <v>569</v>
      </c>
      <c r="P140" s="10"/>
      <c r="R140" s="20"/>
      <c r="S140" s="20"/>
      <c r="T140" s="21"/>
      <c r="V140" s="18"/>
      <c r="W140" s="10"/>
      <c r="Y140" s="22">
        <v>10.0</v>
      </c>
      <c r="Z140" s="20">
        <f t="shared" ref="Z140:Z142" si="139">Y140*6</f>
        <v>60</v>
      </c>
      <c r="AA140" s="10"/>
      <c r="AB140" s="23">
        <v>689.7</v>
      </c>
      <c r="AC140" s="10" t="s">
        <v>570</v>
      </c>
      <c r="AD140" s="10"/>
      <c r="AE140" s="18" t="s">
        <v>571</v>
      </c>
      <c r="AF140" s="10" t="s">
        <v>572</v>
      </c>
      <c r="AG140" s="10"/>
      <c r="AH140" s="10"/>
      <c r="AI140" s="10"/>
      <c r="AJ140" s="10"/>
      <c r="AK140" s="10"/>
      <c r="AL140" s="10"/>
      <c r="AM140" s="10"/>
      <c r="AN140" s="10"/>
      <c r="AO140" s="10"/>
    </row>
    <row r="141">
      <c r="A141" s="1" t="s">
        <v>573</v>
      </c>
      <c r="B141" s="5" t="s">
        <v>129</v>
      </c>
      <c r="C141" s="11" t="str">
        <f>IFERROR(__xludf.DUMMYFUNCTION("IFS(
  REGEXMATCH(LOWER(TRIM(N141)),""nico""), ""us_001"",
  REGEXMATCH(LOWER(TRIM(N141)),""alfonso""), ""us_002"",
  REGEXMATCH(LOWER(TRIM(N141)),""patxi""), ""us_003"",
  REGEXMATCH(LOWER(TRIM(N141)),""martin""), ""us_004"",
  TRUE, ""us_999""
)"),"us_004")</f>
        <v>us_004</v>
      </c>
      <c r="D141" s="18" t="str">
        <f>IFERROR(__xludf.DUMMYFUNCTION("""COMPUTED_VALUE"""),"us_004")</f>
        <v>us_004</v>
      </c>
      <c r="E141" s="1" t="s">
        <v>193</v>
      </c>
      <c r="F141" s="1" t="s">
        <v>566</v>
      </c>
      <c r="G141" s="1" t="s">
        <v>567</v>
      </c>
      <c r="H141" s="12" t="str">
        <f>IFERROR(__xludf.DUMMYFUNCTION("IFS(
  REGEXMATCH(LOWER(TRIM(U141)),""barcelona""), ""acc_139"",
  REGEXMATCH(LOWER(TRIM(U141)),""madrid""), ""acc_148"",
  REGEXMATCH(LOWER(TRIM(U141)),""zaragoza""), ""acc_149"",
  REGEXMATCH(LOWER(TRIM(U141)),""ibiza""), ""acc_140"",
  REGEXMATCH(LOWER"&amp;"(TRIM(U141)),""mallorca""), ""acc_140"",
  REGEXMATCH(LOWER(TRIM(U141)),""menorca""), ""acc_150"",
  TRUE, """"
)
"),"")</f>
        <v/>
      </c>
      <c r="M141" s="19">
        <v>45926.0</v>
      </c>
      <c r="N141" s="10" t="s">
        <v>569</v>
      </c>
      <c r="O141" s="10" t="s">
        <v>569</v>
      </c>
      <c r="P141" s="10"/>
      <c r="R141" s="20"/>
      <c r="S141" s="20"/>
      <c r="T141" s="21"/>
      <c r="V141" s="18"/>
      <c r="W141" s="10"/>
      <c r="Y141" s="22">
        <v>10.0</v>
      </c>
      <c r="Z141" s="20">
        <f t="shared" si="139"/>
        <v>60</v>
      </c>
      <c r="AA141" s="10"/>
      <c r="AB141" s="23">
        <v>689.7</v>
      </c>
      <c r="AC141" s="10" t="s">
        <v>570</v>
      </c>
      <c r="AD141" s="10"/>
      <c r="AE141" s="18" t="s">
        <v>571</v>
      </c>
      <c r="AF141" s="10" t="s">
        <v>574</v>
      </c>
      <c r="AG141" s="10"/>
      <c r="AH141" s="10"/>
      <c r="AI141" s="10"/>
      <c r="AJ141" s="10"/>
      <c r="AK141" s="10"/>
      <c r="AL141" s="10"/>
      <c r="AM141" s="10"/>
      <c r="AN141" s="10"/>
      <c r="AO141" s="10"/>
    </row>
    <row r="142">
      <c r="A142" s="1" t="s">
        <v>575</v>
      </c>
      <c r="B142" s="18" t="s">
        <v>118</v>
      </c>
      <c r="C142" s="11" t="str">
        <f>IFERROR(__xludf.DUMMYFUNCTION("IFS(
  REGEXMATCH(LOWER(TRIM(N142)),""nico""), ""us_001"",
  REGEXMATCH(LOWER(TRIM(N142)),""alfonso""), ""us_002"",
  REGEXMATCH(LOWER(TRIM(N142)),""patxi""), ""us_003"",
  REGEXMATCH(LOWER(TRIM(N142)),""martin""), ""us_004"",
  TRUE, ""us_999""
)"),"us_004")</f>
        <v>us_004</v>
      </c>
      <c r="D142" s="18" t="str">
        <f>IFERROR(__xludf.DUMMYFUNCTION("""COMPUTED_VALUE"""),"us_004")</f>
        <v>us_004</v>
      </c>
      <c r="E142" s="1" t="s">
        <v>193</v>
      </c>
      <c r="F142" s="1" t="s">
        <v>566</v>
      </c>
      <c r="G142" s="1" t="s">
        <v>567</v>
      </c>
      <c r="H142" s="12" t="str">
        <f>IFERROR(__xludf.DUMMYFUNCTION("IFS(
  REGEXMATCH(LOWER(TRIM(U142)),""barcelona""), ""acc_139"",
  REGEXMATCH(LOWER(TRIM(U142)),""madrid""), ""acc_148"",
  REGEXMATCH(LOWER(TRIM(U142)),""zaragoza""), ""acc_149"",
  REGEXMATCH(LOWER(TRIM(U142)),""ibiza""), ""acc_140"",
  REGEXMATCH(LOWER"&amp;"(TRIM(U142)),""mallorca""), ""acc_140"",
  REGEXMATCH(LOWER(TRIM(U142)),""menorca""), ""acc_150"",
  TRUE, """"
)
"),"")</f>
        <v/>
      </c>
      <c r="M142" s="19">
        <v>45926.0</v>
      </c>
      <c r="N142" s="10" t="s">
        <v>569</v>
      </c>
      <c r="O142" s="10" t="s">
        <v>569</v>
      </c>
      <c r="P142" s="10"/>
      <c r="R142" s="20"/>
      <c r="S142" s="20"/>
      <c r="T142" s="21"/>
      <c r="V142" s="18"/>
      <c r="W142" s="10"/>
      <c r="Y142" s="22">
        <v>10.0</v>
      </c>
      <c r="Z142" s="20">
        <f t="shared" si="139"/>
        <v>60</v>
      </c>
      <c r="AA142" s="10"/>
      <c r="AB142" s="23">
        <v>689.7</v>
      </c>
      <c r="AC142" s="10" t="s">
        <v>570</v>
      </c>
      <c r="AD142" s="10"/>
      <c r="AE142" s="18" t="s">
        <v>571</v>
      </c>
      <c r="AF142" s="10" t="s">
        <v>576</v>
      </c>
      <c r="AG142" s="10"/>
      <c r="AH142" s="10"/>
      <c r="AI142" s="10"/>
      <c r="AJ142" s="10"/>
      <c r="AK142" s="10"/>
      <c r="AL142" s="10"/>
      <c r="AM142" s="10"/>
      <c r="AN142" s="10"/>
      <c r="AO142" s="10"/>
    </row>
    <row r="143">
      <c r="A143" s="1" t="s">
        <v>577</v>
      </c>
      <c r="B143" s="18" t="s">
        <v>100</v>
      </c>
      <c r="C143" s="11" t="str">
        <f>IFERROR(__xludf.DUMMYFUNCTION("IFS(
  REGEXMATCH(LOWER(TRIM(N143)),""nico""), ""us_001"",
  REGEXMATCH(LOWER(TRIM(N143)),""alfonso""), ""us_002"",
  REGEXMATCH(LOWER(TRIM(N143)),""patxi""), ""us_003"",
  REGEXMATCH(LOWER(TRIM(N143)),""martin""), ""us_004"",
  TRUE, ""us_999""
)"),"us_004")</f>
        <v>us_004</v>
      </c>
      <c r="D143" s="18" t="str">
        <f>IFERROR(__xludf.DUMMYFUNCTION("""COMPUTED_VALUE"""),"us_004")</f>
        <v>us_004</v>
      </c>
      <c r="E143" s="1" t="s">
        <v>193</v>
      </c>
      <c r="F143" s="1" t="s">
        <v>566</v>
      </c>
      <c r="G143" s="1" t="s">
        <v>567</v>
      </c>
      <c r="H143" s="12" t="str">
        <f>IFERROR(__xludf.DUMMYFUNCTION("IFS(
  REGEXMATCH(LOWER(TRIM(U143)),""barcelona""), ""acc_139"",
  REGEXMATCH(LOWER(TRIM(U143)),""madrid""), ""acc_148"",
  REGEXMATCH(LOWER(TRIM(U143)),""zaragoza""), ""acc_149"",
  REGEXMATCH(LOWER(TRIM(U143)),""ibiza""), ""acc_140"",
  REGEXMATCH(LOWER"&amp;"(TRIM(U143)),""mallorca""), ""acc_140"",
  REGEXMATCH(LOWER(TRIM(U143)),""menorca""), ""acc_150"",
  TRUE, """"
)
"),"")</f>
        <v/>
      </c>
      <c r="M143" s="19">
        <v>45926.0</v>
      </c>
      <c r="N143" s="10" t="s">
        <v>569</v>
      </c>
      <c r="O143" s="10" t="s">
        <v>569</v>
      </c>
      <c r="P143" s="10"/>
      <c r="R143" s="20"/>
      <c r="S143" s="20"/>
      <c r="T143" s="21"/>
      <c r="V143" s="18"/>
      <c r="W143" s="10"/>
      <c r="Y143" s="22">
        <f>Z143/6</f>
        <v>24.83333333</v>
      </c>
      <c r="Z143" s="20">
        <v>149.0</v>
      </c>
      <c r="AA143" s="10"/>
      <c r="AB143" s="24" t="s">
        <v>578</v>
      </c>
      <c r="AC143" s="10" t="s">
        <v>570</v>
      </c>
      <c r="AD143" s="10"/>
      <c r="AE143" s="18" t="s">
        <v>571</v>
      </c>
      <c r="AF143" s="10" t="s">
        <v>200</v>
      </c>
      <c r="AG143" s="10"/>
      <c r="AH143" s="10"/>
      <c r="AI143" s="10"/>
      <c r="AJ143" s="10"/>
      <c r="AK143" s="10"/>
      <c r="AL143" s="10"/>
      <c r="AM143" s="10"/>
      <c r="AN143" s="10"/>
      <c r="AO143" s="10"/>
    </row>
    <row r="144">
      <c r="A144" s="1" t="s">
        <v>579</v>
      </c>
      <c r="B144" s="18" t="s">
        <v>131</v>
      </c>
      <c r="C144" s="11" t="str">
        <f>IFERROR(__xludf.DUMMYFUNCTION("IFS(
  REGEXMATCH(LOWER(TRIM(N144)),""nico""), ""us_001"",
  REGEXMATCH(LOWER(TRIM(N144)),""alfonso""), ""us_002"",
  REGEXMATCH(LOWER(TRIM(N144)),""patxi""), ""us_003"",
  REGEXMATCH(LOWER(TRIM(N144)),""martin""), ""us_004"",
  TRUE, ""us_999""
)"),"us_002")</f>
        <v>us_002</v>
      </c>
      <c r="D144" s="12" t="str">
        <f>IFERROR(__xludf.DUMMYFUNCTION("""COMPUTED_VALUE"""),"us_002")</f>
        <v>us_002</v>
      </c>
      <c r="E144" s="1" t="s">
        <v>580</v>
      </c>
      <c r="F144" s="1" t="s">
        <v>566</v>
      </c>
      <c r="G144" s="1" t="s">
        <v>567</v>
      </c>
      <c r="H144" s="12" t="str">
        <f>IFERROR(__xludf.DUMMYFUNCTION("IFS(
  REGEXMATCH(LOWER(TRIM(U144)),""barcelona""), ""acc_139"",
  REGEXMATCH(LOWER(TRIM(U144)),""madrid""), ""acc_148"",
  REGEXMATCH(LOWER(TRIM(U144)),""zaragoza""), ""acc_149"",
  REGEXMATCH(LOWER(TRIM(U144)),""ibiza""), ""acc_140"",
  REGEXMATCH(LOWER"&amp;"(TRIM(U144)),""mallorca""), ""acc_140"",
  REGEXMATCH(LOWER(TRIM(U144)),""menorca""), ""acc_150"",
  TRUE, """"
)
"),"")</f>
        <v/>
      </c>
      <c r="M144" s="19">
        <v>45926.0</v>
      </c>
      <c r="N144" s="11" t="s">
        <v>201</v>
      </c>
      <c r="O144" s="10" t="s">
        <v>569</v>
      </c>
      <c r="P144" s="20">
        <f t="shared" ref="P144:P146" si="140">WEEKNUM((M144))</f>
        <v>39</v>
      </c>
      <c r="Q144" s="20">
        <v>2025.0</v>
      </c>
      <c r="R144" s="21">
        <v>2500012.0</v>
      </c>
      <c r="S144" s="10"/>
      <c r="T144" s="18" t="s">
        <v>581</v>
      </c>
      <c r="U144" s="10"/>
      <c r="V144" s="10" t="s">
        <v>582</v>
      </c>
      <c r="W144" s="22">
        <v>5.0</v>
      </c>
      <c r="X144" s="25">
        <f t="shared" ref="X144:X145" si="141">W144*6</f>
        <v>30</v>
      </c>
      <c r="Y144" s="10"/>
      <c r="Z144" s="23">
        <v>417.45</v>
      </c>
      <c r="AA144" s="10" t="s">
        <v>570</v>
      </c>
      <c r="AB144" s="10"/>
      <c r="AC144" s="18" t="s">
        <v>571</v>
      </c>
      <c r="AD144" s="10" t="s">
        <v>200</v>
      </c>
      <c r="AE144" s="10"/>
      <c r="AF144" s="10"/>
      <c r="AG144" s="10"/>
      <c r="AH144" s="10"/>
      <c r="AI144" s="10"/>
      <c r="AJ144" s="10"/>
      <c r="AK144" s="10"/>
      <c r="AL144" s="10"/>
      <c r="AM144" s="10"/>
    </row>
    <row r="145">
      <c r="A145" s="1" t="s">
        <v>583</v>
      </c>
      <c r="B145" s="18" t="s">
        <v>115</v>
      </c>
      <c r="C145" s="11" t="str">
        <f>IFERROR(__xludf.DUMMYFUNCTION("IFS(
  REGEXMATCH(LOWER(TRIM(N145)),""nico""), ""us_001"",
  REGEXMATCH(LOWER(TRIM(N145)),""alfonso""), ""us_002"",
  REGEXMATCH(LOWER(TRIM(N145)),""patxi""), ""us_003"",
  REGEXMATCH(LOWER(TRIM(N145)),""martin""), ""us_004"",
  TRUE, ""us_999""
)"),"us_002")</f>
        <v>us_002</v>
      </c>
      <c r="D145" s="12" t="str">
        <f>IFERROR(__xludf.DUMMYFUNCTION("""COMPUTED_VALUE"""),"us_002")</f>
        <v>us_002</v>
      </c>
      <c r="E145" s="1" t="s">
        <v>580</v>
      </c>
      <c r="F145" s="1" t="s">
        <v>566</v>
      </c>
      <c r="G145" s="1" t="s">
        <v>567</v>
      </c>
      <c r="H145" s="12" t="str">
        <f>IFERROR(__xludf.DUMMYFUNCTION("IFS(
  REGEXMATCH(LOWER(TRIM(U145)),""barcelona""), ""acc_139"",
  REGEXMATCH(LOWER(TRIM(U145)),""madrid""), ""acc_148"",
  REGEXMATCH(LOWER(TRIM(U145)),""zaragoza""), ""acc_149"",
  REGEXMATCH(LOWER(TRIM(U145)),""ibiza""), ""acc_140"",
  REGEXMATCH(LOWER"&amp;"(TRIM(U145)),""mallorca""), ""acc_140"",
  REGEXMATCH(LOWER(TRIM(U145)),""menorca""), ""acc_150"",
  TRUE, """"
)
"),"")</f>
        <v/>
      </c>
      <c r="M145" s="19">
        <v>45926.0</v>
      </c>
      <c r="N145" s="11" t="s">
        <v>201</v>
      </c>
      <c r="O145" s="10" t="s">
        <v>569</v>
      </c>
      <c r="P145" s="20">
        <f t="shared" si="140"/>
        <v>39</v>
      </c>
      <c r="Q145" s="20">
        <v>2025.0</v>
      </c>
      <c r="R145" s="21">
        <v>2500011.0</v>
      </c>
      <c r="S145" s="10"/>
      <c r="T145" s="18" t="s">
        <v>581</v>
      </c>
      <c r="U145" s="10"/>
      <c r="V145" s="10" t="s">
        <v>582</v>
      </c>
      <c r="W145" s="22">
        <v>5.0</v>
      </c>
      <c r="X145" s="25">
        <f t="shared" si="141"/>
        <v>30</v>
      </c>
      <c r="Y145" s="10"/>
      <c r="Z145" s="23">
        <v>417.45</v>
      </c>
      <c r="AA145" s="10" t="s">
        <v>570</v>
      </c>
      <c r="AB145" s="10"/>
      <c r="AC145" s="18" t="s">
        <v>571</v>
      </c>
      <c r="AD145" s="10" t="s">
        <v>200</v>
      </c>
      <c r="AE145" s="10"/>
      <c r="AF145" s="10"/>
      <c r="AG145" s="10"/>
      <c r="AH145" s="10"/>
      <c r="AI145" s="10"/>
      <c r="AJ145" s="10"/>
      <c r="AK145" s="10"/>
      <c r="AL145" s="10"/>
      <c r="AM145" s="10"/>
    </row>
    <row r="146">
      <c r="A146" s="1" t="s">
        <v>584</v>
      </c>
      <c r="B146" s="18" t="s">
        <v>49</v>
      </c>
      <c r="C146" s="11" t="str">
        <f>IFERROR(__xludf.DUMMYFUNCTION("IFS(
  REGEXMATCH(LOWER(TRIM(N146)),""nico""), ""us_001"",
  REGEXMATCH(LOWER(TRIM(N146)),""alfonso""), ""us_002"",
  REGEXMATCH(LOWER(TRIM(N146)),""patxi""), ""us_003"",
  REGEXMATCH(LOWER(TRIM(N146)),""martin""), ""us_004"",
  TRUE, ""us_999""
)"),"us_002")</f>
        <v>us_002</v>
      </c>
      <c r="D146" s="12" t="str">
        <f>IFERROR(__xludf.DUMMYFUNCTION("""COMPUTED_VALUE"""),"us_002")</f>
        <v>us_002</v>
      </c>
      <c r="E146" s="1" t="s">
        <v>580</v>
      </c>
      <c r="F146" s="1" t="s">
        <v>566</v>
      </c>
      <c r="G146" s="1" t="s">
        <v>567</v>
      </c>
      <c r="H146" s="12" t="str">
        <f>IFERROR(__xludf.DUMMYFUNCTION("IFS(
  REGEXMATCH(LOWER(TRIM(U146)),""barcelona""), ""acc_139"",
  REGEXMATCH(LOWER(TRIM(U146)),""madrid""), ""acc_148"",
  REGEXMATCH(LOWER(TRIM(U146)),""zaragoza""), ""acc_149"",
  REGEXMATCH(LOWER(TRIM(U146)),""ibiza""), ""acc_140"",
  REGEXMATCH(LOWER"&amp;"(TRIM(U146)),""mallorca""), ""acc_140"",
  REGEXMATCH(LOWER(TRIM(U146)),""menorca""), ""acc_150"",
  TRUE, """"
)
"),"")</f>
        <v/>
      </c>
      <c r="M146" s="19">
        <v>45926.0</v>
      </c>
      <c r="N146" s="11" t="s">
        <v>201</v>
      </c>
      <c r="O146" s="10" t="s">
        <v>569</v>
      </c>
      <c r="P146" s="20">
        <f t="shared" si="140"/>
        <v>39</v>
      </c>
      <c r="Q146" s="20">
        <v>2025.0</v>
      </c>
      <c r="R146" s="10"/>
      <c r="S146" s="10"/>
      <c r="T146" s="18" t="s">
        <v>581</v>
      </c>
      <c r="U146" s="10"/>
      <c r="V146" s="10" t="s">
        <v>569</v>
      </c>
      <c r="W146" s="22">
        <f>X146/6</f>
        <v>6</v>
      </c>
      <c r="X146" s="25">
        <v>36.0</v>
      </c>
      <c r="Y146" s="10"/>
      <c r="Z146" s="23">
        <v>414.0</v>
      </c>
      <c r="AA146" s="10" t="s">
        <v>570</v>
      </c>
      <c r="AB146" s="10"/>
      <c r="AC146" s="18" t="s">
        <v>571</v>
      </c>
      <c r="AD146" s="10" t="s">
        <v>200</v>
      </c>
      <c r="AE146" s="26" t="s">
        <v>585</v>
      </c>
      <c r="AF146" s="10"/>
      <c r="AG146" s="10"/>
      <c r="AH146" s="10"/>
      <c r="AI146" s="10"/>
      <c r="AJ146" s="10"/>
      <c r="AK146" s="10"/>
      <c r="AL146" s="10"/>
      <c r="AM146" s="10"/>
    </row>
    <row r="147">
      <c r="A147" s="1" t="s">
        <v>586</v>
      </c>
      <c r="B147" s="18" t="s">
        <v>17</v>
      </c>
      <c r="C147" s="11" t="str">
        <f>IFERROR(__xludf.DUMMYFUNCTION("IFS(
  REGEXMATCH(LOWER(TRIM(N147)),""nico""), ""us_001"",
  REGEXMATCH(LOWER(TRIM(N147)),""alfonso""), ""us_002"",
  REGEXMATCH(LOWER(TRIM(N147)),""patxi""), ""us_003"",
  REGEXMATCH(LOWER(TRIM(N147)),""martin""), ""us_004"",
  TRUE, ""us_999""
)"),"us_004")</f>
        <v>us_004</v>
      </c>
      <c r="D147" s="12" t="str">
        <f>IFERROR(__xludf.DUMMYFUNCTION("""COMPUTED_VALUE"""),"us_004")</f>
        <v>us_004</v>
      </c>
      <c r="E147" s="1" t="s">
        <v>580</v>
      </c>
      <c r="F147" s="1" t="s">
        <v>566</v>
      </c>
      <c r="G147" s="1" t="s">
        <v>567</v>
      </c>
      <c r="H147" s="12" t="str">
        <f>IFERROR(__xludf.DUMMYFUNCTION("IFS(
  REGEXMATCH(LOWER(TRIM(U147)),""barcelona""), ""acc_139"",
  REGEXMATCH(LOWER(TRIM(U147)),""madrid""), ""acc_148"",
  REGEXMATCH(LOWER(TRIM(U147)),""zaragoza""), ""acc_149"",
  REGEXMATCH(LOWER(TRIM(U147)),""ibiza""), ""acc_140"",
  REGEXMATCH(LOWER"&amp;"(TRIM(U147)),""mallorca""), ""acc_140"",
  REGEXMATCH(LOWER(TRIM(U147)),""menorca""), ""acc_150"",
  TRUE, """"
)
"),"")</f>
        <v/>
      </c>
      <c r="M147" s="27">
        <v>45913.0</v>
      </c>
      <c r="N147" s="10" t="s">
        <v>569</v>
      </c>
      <c r="O147" s="10" t="s">
        <v>569</v>
      </c>
      <c r="P147" s="20">
        <v>37.0</v>
      </c>
      <c r="Q147" s="20">
        <v>2025.0</v>
      </c>
      <c r="R147" s="10" t="s">
        <v>587</v>
      </c>
      <c r="T147" s="18" t="s">
        <v>581</v>
      </c>
      <c r="U147" s="10"/>
      <c r="V147" s="10" t="s">
        <v>569</v>
      </c>
      <c r="W147" s="21">
        <v>4.0</v>
      </c>
      <c r="X147" s="25">
        <v>24.0</v>
      </c>
      <c r="Y147" s="10"/>
      <c r="Z147" s="28">
        <v>232.32</v>
      </c>
      <c r="AA147" s="10" t="s">
        <v>570</v>
      </c>
      <c r="AB147" s="10"/>
      <c r="AC147" s="10"/>
      <c r="AD147" s="10"/>
      <c r="AE147" s="29" t="s">
        <v>588</v>
      </c>
      <c r="AF147" s="10"/>
      <c r="AG147" s="10"/>
      <c r="AH147" s="10"/>
      <c r="AI147" s="10"/>
      <c r="AJ147" s="10"/>
      <c r="AK147" s="10"/>
      <c r="AL147" s="10"/>
      <c r="AM147" s="10"/>
    </row>
    <row r="148">
      <c r="A148" s="1" t="s">
        <v>589</v>
      </c>
      <c r="B148" s="1" t="s">
        <v>590</v>
      </c>
      <c r="C148" s="11" t="str">
        <f>IFERROR(__xludf.DUMMYFUNCTION("IFS(
  REGEXMATCH(LOWER(TRIM(N148)),""nico""), ""us_001"",
  REGEXMATCH(LOWER(TRIM(N148)),""alfonso""), ""us_002"",
  REGEXMATCH(LOWER(TRIM(N148)),""patxi""), ""us_003"",
  REGEXMATCH(LOWER(TRIM(N148)),""martin""), ""us_004"",
  TRUE, ""us_999""
)"),"us_003")</f>
        <v>us_003</v>
      </c>
      <c r="D148" s="12" t="str">
        <f>IFERROR(__xludf.DUMMYFUNCTION("""COMPUTED_VALUE"""),"us_003")</f>
        <v>us_003</v>
      </c>
      <c r="E148" s="1" t="s">
        <v>193</v>
      </c>
      <c r="F148" s="1" t="s">
        <v>566</v>
      </c>
      <c r="G148" s="1" t="s">
        <v>567</v>
      </c>
      <c r="H148" s="12" t="str">
        <f>IFERROR(__xludf.DUMMYFUNCTION("IFS(
  REGEXMATCH(LOWER(TRIM(U148)),""barcelona""), ""acc_139"",
  REGEXMATCH(LOWER(TRIM(U148)),""madrid""), ""acc_148"",
  REGEXMATCH(LOWER(TRIM(U148)),""zaragoza""), ""acc_149"",
  REGEXMATCH(LOWER(TRIM(U148)),""ibiza""), ""acc_140"",
  REGEXMATCH(LOWER"&amp;"(TRIM(U148)),""mallorca""), ""acc_140"",
  REGEXMATCH(LOWER(TRIM(U148)),""menorca""), ""acc_150"",
  TRUE, """"
)
"),"")</f>
        <v/>
      </c>
      <c r="M148" s="30"/>
      <c r="N148" s="1" t="s">
        <v>568</v>
      </c>
      <c r="O148" s="1" t="s">
        <v>569</v>
      </c>
    </row>
    <row r="149">
      <c r="A149" s="1" t="s">
        <v>591</v>
      </c>
      <c r="B149" s="1" t="s">
        <v>592</v>
      </c>
      <c r="C149" s="11" t="str">
        <f>IFERROR(__xludf.DUMMYFUNCTION("IFS(
  REGEXMATCH(LOWER(TRIM(N149)),""nico""), ""us_001"",
  REGEXMATCH(LOWER(TRIM(N149)),""alfonso""), ""us_002"",
  REGEXMATCH(LOWER(TRIM(N149)),""patxi""), ""us_003"",
  REGEXMATCH(LOWER(TRIM(N149)),""martin""), ""us_004"",
  TRUE, ""us_999""
)"),"us_004")</f>
        <v>us_004</v>
      </c>
      <c r="D149" s="12" t="str">
        <f>IFERROR(__xludf.DUMMYFUNCTION("""COMPUTED_VALUE"""),"us_004")</f>
        <v>us_004</v>
      </c>
      <c r="E149" s="1" t="s">
        <v>193</v>
      </c>
      <c r="F149" s="1" t="s">
        <v>566</v>
      </c>
      <c r="G149" s="1" t="s">
        <v>567</v>
      </c>
      <c r="H149" s="12" t="str">
        <f>IFERROR(__xludf.DUMMYFUNCTION("IFS(
  REGEXMATCH(LOWER(TRIM(U149)),""barcelona""), ""acc_139"",
  REGEXMATCH(LOWER(TRIM(U149)),""madrid""), ""acc_148"",
  REGEXMATCH(LOWER(TRIM(U149)),""zaragoza""), ""acc_149"",
  REGEXMATCH(LOWER(TRIM(U149)),""ibiza""), ""acc_140"",
  REGEXMATCH(LOWER"&amp;"(TRIM(U149)),""mallorca""), ""acc_140"",
  REGEXMATCH(LOWER(TRIM(U149)),""menorca""), ""acc_150"",
  TRUE, """"
)
"),"")</f>
        <v/>
      </c>
      <c r="M149" s="31">
        <v>45942.0</v>
      </c>
      <c r="N149" s="32" t="s">
        <v>569</v>
      </c>
      <c r="O149" s="33" t="s">
        <v>569</v>
      </c>
      <c r="P149" s="20">
        <v>2025.0</v>
      </c>
      <c r="Q149" s="10" t="s">
        <v>593</v>
      </c>
      <c r="R149" s="18" t="s">
        <v>182</v>
      </c>
      <c r="S149" s="18" t="s">
        <v>193</v>
      </c>
      <c r="T149" s="10"/>
      <c r="U149" s="10" t="s">
        <v>205</v>
      </c>
      <c r="V149" s="22">
        <v>120.0</v>
      </c>
      <c r="W149" s="25">
        <v>720.0</v>
      </c>
      <c r="X149" s="10"/>
      <c r="Y149" s="28">
        <v>7972.73</v>
      </c>
      <c r="Z149" s="10" t="s">
        <v>570</v>
      </c>
      <c r="AA149" s="10"/>
      <c r="AB149" s="18" t="s">
        <v>571</v>
      </c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</row>
    <row r="150">
      <c r="A150" s="1" t="s">
        <v>594</v>
      </c>
      <c r="B150" s="1" t="s">
        <v>182</v>
      </c>
      <c r="C150" s="11" t="str">
        <f>IFERROR(__xludf.DUMMYFUNCTION("IFS(
  REGEXMATCH(LOWER(TRIM(N150)),""nico""), ""us_001"",
  REGEXMATCH(LOWER(TRIM(N150)),""alfonso""), ""us_002"",
  REGEXMATCH(LOWER(TRIM(N150)),""patxi""), ""us_003"",
  REGEXMATCH(LOWER(TRIM(N150)),""martin""), ""us_004"",
  TRUE, ""us_999""
)"),"us_004")</f>
        <v>us_004</v>
      </c>
      <c r="D150" s="12" t="str">
        <f>IFERROR(__xludf.DUMMYFUNCTION("""COMPUTED_VALUE"""),"us_004")</f>
        <v>us_004</v>
      </c>
      <c r="E150" s="1" t="s">
        <v>595</v>
      </c>
      <c r="F150" s="1" t="s">
        <v>566</v>
      </c>
      <c r="G150" s="1" t="s">
        <v>567</v>
      </c>
      <c r="H150" s="12" t="str">
        <f>IFERROR(__xludf.DUMMYFUNCTION("IFS(
  REGEXMATCH(LOWER(TRIM(U150)),""barcelona""), ""acc_139"",
  REGEXMATCH(LOWER(TRIM(U150)),""madrid""), ""acc_148"",
  REGEXMATCH(LOWER(TRIM(U150)),""zaragoza""), ""acc_149"",
  REGEXMATCH(LOWER(TRIM(U150)),""ibiza""), ""acc_140"",
  REGEXMATCH(LOWER"&amp;"(TRIM(U150)),""mallorca""), ""acc_140"",
  REGEXMATCH(LOWER(TRIM(U150)),""menorca""), ""acc_150"",
  TRUE, """"
)
"),"")</f>
        <v/>
      </c>
      <c r="M150" s="19">
        <v>45908.0</v>
      </c>
      <c r="N150" s="32" t="s">
        <v>569</v>
      </c>
      <c r="O150" s="33" t="s">
        <v>569</v>
      </c>
      <c r="P150" s="20">
        <v>2025.0</v>
      </c>
      <c r="Q150" s="10" t="s">
        <v>596</v>
      </c>
      <c r="R150" s="18" t="s">
        <v>84</v>
      </c>
      <c r="S150" s="18" t="s">
        <v>193</v>
      </c>
      <c r="T150" s="10"/>
      <c r="U150" s="10" t="s">
        <v>569</v>
      </c>
      <c r="V150" s="22">
        <f>W150/6</f>
        <v>20</v>
      </c>
      <c r="W150" s="25">
        <v>120.0</v>
      </c>
      <c r="X150" s="10"/>
      <c r="Y150" s="28">
        <v>1380.0</v>
      </c>
      <c r="Z150" s="10" t="s">
        <v>570</v>
      </c>
      <c r="AA150" s="10"/>
      <c r="AB150" s="18" t="s">
        <v>571</v>
      </c>
      <c r="AC150" s="10" t="s">
        <v>215</v>
      </c>
      <c r="AD150" s="10"/>
      <c r="AE150" s="10"/>
      <c r="AF150" s="10"/>
      <c r="AG150" s="10"/>
      <c r="AH150" s="10"/>
      <c r="AI150" s="10"/>
      <c r="AJ150" s="10"/>
      <c r="AK150" s="10"/>
      <c r="AL150" s="10"/>
    </row>
    <row r="151">
      <c r="A151" s="1" t="s">
        <v>597</v>
      </c>
      <c r="B151" s="10" t="s">
        <v>140</v>
      </c>
      <c r="C151" s="10" t="s">
        <v>598</v>
      </c>
      <c r="D151" s="12"/>
      <c r="M151" s="30"/>
    </row>
    <row r="152">
      <c r="A152" s="1" t="s">
        <v>599</v>
      </c>
      <c r="B152" s="10" t="s">
        <v>136</v>
      </c>
      <c r="C152" s="11" t="s">
        <v>598</v>
      </c>
      <c r="D152" s="12"/>
      <c r="M152" s="30"/>
    </row>
    <row r="153">
      <c r="A153" s="1" t="s">
        <v>600</v>
      </c>
      <c r="B153" s="10" t="s">
        <v>144</v>
      </c>
      <c r="C153" s="10" t="s">
        <v>598</v>
      </c>
      <c r="D153" s="12"/>
      <c r="M153" s="30"/>
    </row>
    <row r="154">
      <c r="A154" s="1" t="s">
        <v>601</v>
      </c>
      <c r="B154" s="10" t="s">
        <v>154</v>
      </c>
      <c r="C154" s="11" t="s">
        <v>598</v>
      </c>
      <c r="D154" s="12"/>
      <c r="M154" s="30"/>
    </row>
    <row r="155">
      <c r="A155" s="1" t="s">
        <v>602</v>
      </c>
      <c r="B155" s="10" t="s">
        <v>603</v>
      </c>
      <c r="C155" s="10" t="s">
        <v>598</v>
      </c>
      <c r="D155" s="12"/>
      <c r="M155" s="30"/>
    </row>
    <row r="156">
      <c r="A156" s="1" t="s">
        <v>604</v>
      </c>
      <c r="B156" s="10" t="s">
        <v>605</v>
      </c>
      <c r="C156" s="11" t="s">
        <v>598</v>
      </c>
      <c r="D156" s="12"/>
      <c r="M156" s="30"/>
    </row>
    <row r="157">
      <c r="A157" s="1" t="s">
        <v>606</v>
      </c>
      <c r="B157" s="10" t="s">
        <v>607</v>
      </c>
      <c r="C157" s="10" t="s">
        <v>598</v>
      </c>
      <c r="D157" s="12"/>
      <c r="M157" s="30"/>
    </row>
    <row r="158">
      <c r="A158" s="1" t="s">
        <v>608</v>
      </c>
      <c r="B158" s="10" t="s">
        <v>166</v>
      </c>
      <c r="C158" s="11" t="s">
        <v>598</v>
      </c>
      <c r="D158" s="12"/>
      <c r="M158" s="30"/>
    </row>
    <row r="159">
      <c r="A159" s="1" t="s">
        <v>609</v>
      </c>
      <c r="B159" s="10" t="s">
        <v>148</v>
      </c>
      <c r="C159" s="10" t="s">
        <v>598</v>
      </c>
      <c r="D159" s="12"/>
      <c r="M159" s="30"/>
    </row>
    <row r="160">
      <c r="D160" s="12"/>
      <c r="M160" s="30"/>
    </row>
    <row r="161">
      <c r="D161" s="12"/>
      <c r="M161" s="30"/>
    </row>
    <row r="162">
      <c r="D162" s="12"/>
      <c r="M162" s="30"/>
    </row>
    <row r="163">
      <c r="D163" s="12"/>
      <c r="M163" s="30"/>
    </row>
    <row r="164">
      <c r="D164" s="12"/>
      <c r="M164" s="30"/>
    </row>
    <row r="165">
      <c r="D165" s="12"/>
      <c r="M165" s="30"/>
    </row>
    <row r="166">
      <c r="D166" s="12"/>
      <c r="M166" s="30"/>
    </row>
    <row r="167">
      <c r="D167" s="12"/>
      <c r="M167" s="30"/>
    </row>
    <row r="168">
      <c r="D168" s="12"/>
      <c r="M168" s="30"/>
    </row>
    <row r="169">
      <c r="D169" s="12"/>
      <c r="M169" s="30"/>
    </row>
    <row r="170">
      <c r="D170" s="12"/>
      <c r="M170" s="30"/>
    </row>
    <row r="171">
      <c r="D171" s="12"/>
      <c r="M171" s="30"/>
    </row>
    <row r="172">
      <c r="D172" s="12"/>
      <c r="M172" s="30"/>
    </row>
    <row r="173">
      <c r="D173" s="12"/>
      <c r="M173" s="30"/>
    </row>
    <row r="174">
      <c r="D174" s="12"/>
      <c r="M174" s="30"/>
    </row>
    <row r="175">
      <c r="D175" s="12"/>
      <c r="M175" s="30"/>
    </row>
    <row r="176">
      <c r="D176" s="12"/>
      <c r="M176" s="30"/>
    </row>
    <row r="177">
      <c r="D177" s="12"/>
      <c r="M177" s="30"/>
    </row>
    <row r="178">
      <c r="D178" s="12"/>
      <c r="M178" s="30"/>
    </row>
    <row r="179">
      <c r="D179" s="12"/>
      <c r="M179" s="30"/>
    </row>
    <row r="180">
      <c r="D180" s="12"/>
      <c r="M180" s="30"/>
    </row>
    <row r="181">
      <c r="D181" s="12"/>
      <c r="M181" s="30"/>
    </row>
    <row r="182">
      <c r="D182" s="12"/>
      <c r="M182" s="30"/>
    </row>
    <row r="183">
      <c r="D183" s="12"/>
      <c r="M183" s="30"/>
    </row>
    <row r="184">
      <c r="D184" s="12"/>
      <c r="M184" s="30"/>
    </row>
    <row r="185">
      <c r="D185" s="12"/>
      <c r="M185" s="30"/>
    </row>
    <row r="186">
      <c r="D186" s="12"/>
      <c r="M186" s="30"/>
    </row>
    <row r="187">
      <c r="D187" s="12"/>
      <c r="M187" s="30"/>
    </row>
    <row r="188">
      <c r="D188" s="12"/>
      <c r="M188" s="30"/>
    </row>
    <row r="189">
      <c r="D189" s="12"/>
      <c r="M189" s="30"/>
    </row>
    <row r="190">
      <c r="D190" s="12"/>
      <c r="M190" s="30"/>
    </row>
    <row r="191">
      <c r="D191" s="12"/>
      <c r="M191" s="30"/>
    </row>
    <row r="192">
      <c r="D192" s="12"/>
      <c r="M192" s="30"/>
    </row>
    <row r="193">
      <c r="D193" s="12"/>
      <c r="M193" s="30"/>
    </row>
    <row r="194">
      <c r="D194" s="12"/>
      <c r="M194" s="30"/>
    </row>
    <row r="195">
      <c r="D195" s="12"/>
      <c r="M195" s="30"/>
    </row>
    <row r="196">
      <c r="D196" s="12"/>
      <c r="M196" s="30"/>
    </row>
    <row r="197">
      <c r="D197" s="12"/>
      <c r="M197" s="30"/>
    </row>
    <row r="198">
      <c r="D198" s="12"/>
      <c r="M198" s="30"/>
    </row>
    <row r="199">
      <c r="D199" s="12"/>
      <c r="M199" s="30"/>
    </row>
    <row r="200">
      <c r="D200" s="12"/>
      <c r="M200" s="30"/>
    </row>
    <row r="201">
      <c r="D201" s="12"/>
      <c r="M201" s="30"/>
    </row>
    <row r="202">
      <c r="D202" s="12"/>
      <c r="M202" s="30"/>
    </row>
    <row r="203">
      <c r="D203" s="12"/>
      <c r="M203" s="30"/>
    </row>
    <row r="204">
      <c r="D204" s="12"/>
      <c r="M204" s="30"/>
    </row>
    <row r="205">
      <c r="D205" s="12"/>
      <c r="M205" s="30"/>
    </row>
    <row r="206">
      <c r="D206" s="12"/>
      <c r="M206" s="30"/>
    </row>
    <row r="207">
      <c r="D207" s="12"/>
      <c r="M207" s="30"/>
    </row>
    <row r="208">
      <c r="D208" s="12"/>
      <c r="M208" s="30"/>
    </row>
    <row r="209">
      <c r="D209" s="12"/>
      <c r="M209" s="30"/>
    </row>
    <row r="210">
      <c r="D210" s="12"/>
      <c r="M210" s="30"/>
    </row>
    <row r="211">
      <c r="D211" s="12"/>
      <c r="M211" s="30"/>
    </row>
    <row r="212">
      <c r="D212" s="12"/>
      <c r="M212" s="30"/>
    </row>
    <row r="213">
      <c r="D213" s="12"/>
      <c r="M213" s="30"/>
    </row>
    <row r="214">
      <c r="D214" s="12"/>
      <c r="M214" s="30"/>
    </row>
    <row r="215">
      <c r="D215" s="12"/>
      <c r="M215" s="30"/>
    </row>
    <row r="216">
      <c r="D216" s="12"/>
      <c r="M216" s="30"/>
    </row>
    <row r="217">
      <c r="D217" s="12"/>
      <c r="M217" s="30"/>
    </row>
    <row r="218">
      <c r="D218" s="12"/>
      <c r="M218" s="30"/>
    </row>
    <row r="219">
      <c r="D219" s="12"/>
      <c r="M219" s="30"/>
    </row>
    <row r="220">
      <c r="D220" s="12"/>
      <c r="M220" s="30"/>
    </row>
    <row r="221">
      <c r="D221" s="12"/>
      <c r="M221" s="30"/>
    </row>
    <row r="222">
      <c r="D222" s="12"/>
      <c r="M222" s="30"/>
    </row>
    <row r="223">
      <c r="D223" s="12"/>
      <c r="M223" s="30"/>
    </row>
    <row r="224">
      <c r="D224" s="12"/>
      <c r="M224" s="30"/>
    </row>
    <row r="225">
      <c r="D225" s="12"/>
      <c r="M225" s="30"/>
    </row>
    <row r="226">
      <c r="D226" s="12"/>
      <c r="M226" s="30"/>
    </row>
    <row r="227">
      <c r="D227" s="12"/>
      <c r="M227" s="30"/>
    </row>
    <row r="228">
      <c r="D228" s="12"/>
      <c r="M228" s="30"/>
    </row>
    <row r="229">
      <c r="D229" s="12"/>
      <c r="M229" s="30"/>
    </row>
    <row r="230">
      <c r="D230" s="12"/>
      <c r="M230" s="30"/>
    </row>
    <row r="231">
      <c r="D231" s="12"/>
      <c r="M231" s="30"/>
    </row>
    <row r="232">
      <c r="D232" s="12"/>
      <c r="M232" s="30"/>
    </row>
    <row r="233">
      <c r="D233" s="12"/>
      <c r="M233" s="30"/>
    </row>
    <row r="234">
      <c r="D234" s="12"/>
      <c r="M234" s="30"/>
    </row>
    <row r="235">
      <c r="D235" s="12"/>
      <c r="M235" s="30"/>
    </row>
    <row r="236">
      <c r="D236" s="12"/>
      <c r="M236" s="30"/>
    </row>
    <row r="237">
      <c r="D237" s="12"/>
      <c r="M237" s="30"/>
    </row>
    <row r="238">
      <c r="D238" s="12"/>
      <c r="M238" s="30"/>
    </row>
    <row r="239">
      <c r="D239" s="12"/>
      <c r="M239" s="30"/>
    </row>
    <row r="240">
      <c r="D240" s="12"/>
      <c r="M240" s="30"/>
    </row>
    <row r="241">
      <c r="D241" s="12"/>
      <c r="M241" s="30"/>
    </row>
    <row r="242">
      <c r="D242" s="12"/>
      <c r="M242" s="30"/>
    </row>
    <row r="243">
      <c r="D243" s="12"/>
      <c r="M243" s="30"/>
    </row>
    <row r="244">
      <c r="D244" s="12"/>
      <c r="M244" s="30"/>
    </row>
    <row r="245">
      <c r="D245" s="12"/>
      <c r="M245" s="30"/>
    </row>
    <row r="246">
      <c r="D246" s="12"/>
      <c r="M246" s="30"/>
    </row>
    <row r="247">
      <c r="D247" s="12"/>
      <c r="M247" s="30"/>
    </row>
    <row r="248">
      <c r="D248" s="12"/>
      <c r="M248" s="30"/>
    </row>
    <row r="249">
      <c r="D249" s="12"/>
      <c r="M249" s="30"/>
    </row>
    <row r="250">
      <c r="D250" s="12"/>
      <c r="M250" s="30"/>
    </row>
    <row r="251">
      <c r="D251" s="12"/>
      <c r="M251" s="30"/>
    </row>
    <row r="252">
      <c r="D252" s="12"/>
      <c r="M252" s="30"/>
    </row>
    <row r="253">
      <c r="D253" s="12"/>
      <c r="M253" s="30"/>
    </row>
    <row r="254">
      <c r="D254" s="12"/>
      <c r="M254" s="30"/>
    </row>
    <row r="255">
      <c r="D255" s="12"/>
      <c r="M255" s="30"/>
    </row>
    <row r="256">
      <c r="D256" s="12"/>
      <c r="M256" s="30"/>
    </row>
    <row r="257">
      <c r="D257" s="12"/>
      <c r="M257" s="30"/>
    </row>
    <row r="258">
      <c r="D258" s="12"/>
      <c r="M258" s="30"/>
    </row>
    <row r="259">
      <c r="D259" s="12"/>
      <c r="M259" s="30"/>
    </row>
    <row r="260">
      <c r="D260" s="12"/>
      <c r="M260" s="30"/>
    </row>
    <row r="261">
      <c r="D261" s="12"/>
      <c r="M261" s="30"/>
    </row>
    <row r="262">
      <c r="D262" s="12"/>
      <c r="M262" s="30"/>
    </row>
    <row r="263">
      <c r="D263" s="12"/>
      <c r="M263" s="30"/>
    </row>
    <row r="264">
      <c r="D264" s="12"/>
      <c r="M264" s="30"/>
    </row>
    <row r="265">
      <c r="D265" s="12"/>
      <c r="M265" s="30"/>
    </row>
    <row r="266">
      <c r="D266" s="12"/>
      <c r="M266" s="30"/>
    </row>
    <row r="267">
      <c r="D267" s="12"/>
      <c r="M267" s="30"/>
    </row>
    <row r="268">
      <c r="D268" s="12"/>
      <c r="M268" s="30"/>
    </row>
    <row r="269">
      <c r="D269" s="12"/>
      <c r="M269" s="30"/>
    </row>
    <row r="270">
      <c r="D270" s="12"/>
      <c r="M270" s="30"/>
    </row>
    <row r="271">
      <c r="D271" s="12"/>
      <c r="M271" s="30"/>
    </row>
    <row r="272">
      <c r="D272" s="12"/>
      <c r="M272" s="30"/>
    </row>
    <row r="273">
      <c r="D273" s="12"/>
      <c r="M273" s="30"/>
    </row>
    <row r="274">
      <c r="D274" s="12"/>
      <c r="M274" s="30"/>
    </row>
    <row r="275">
      <c r="D275" s="12"/>
      <c r="M275" s="30"/>
    </row>
    <row r="276">
      <c r="D276" s="12"/>
      <c r="M276" s="30"/>
    </row>
    <row r="277">
      <c r="D277" s="12"/>
      <c r="M277" s="30"/>
    </row>
    <row r="278">
      <c r="D278" s="12"/>
      <c r="M278" s="30"/>
    </row>
    <row r="279">
      <c r="D279" s="12"/>
      <c r="M279" s="30"/>
    </row>
    <row r="280">
      <c r="D280" s="12"/>
      <c r="M280" s="30"/>
    </row>
    <row r="281">
      <c r="D281" s="12"/>
      <c r="M281" s="30"/>
    </row>
    <row r="282">
      <c r="D282" s="12"/>
      <c r="M282" s="30"/>
    </row>
    <row r="283">
      <c r="D283" s="12"/>
      <c r="M283" s="30"/>
    </row>
    <row r="284">
      <c r="D284" s="12"/>
      <c r="M284" s="30"/>
    </row>
    <row r="285">
      <c r="D285" s="12"/>
      <c r="M285" s="30"/>
    </row>
    <row r="286">
      <c r="D286" s="12"/>
      <c r="M286" s="30"/>
    </row>
    <row r="287">
      <c r="D287" s="12"/>
      <c r="M287" s="30"/>
    </row>
    <row r="288">
      <c r="D288" s="12"/>
      <c r="M288" s="30"/>
    </row>
    <row r="289">
      <c r="D289" s="12"/>
      <c r="M289" s="30"/>
    </row>
    <row r="290">
      <c r="D290" s="12"/>
      <c r="M290" s="30"/>
    </row>
    <row r="291">
      <c r="D291" s="12"/>
      <c r="M291" s="30"/>
    </row>
    <row r="292">
      <c r="D292" s="12"/>
      <c r="M292" s="30"/>
    </row>
    <row r="293">
      <c r="D293" s="12"/>
      <c r="M293" s="30"/>
    </row>
    <row r="294">
      <c r="D294" s="12"/>
      <c r="M294" s="30"/>
    </row>
    <row r="295">
      <c r="D295" s="12"/>
      <c r="M295" s="30"/>
    </row>
    <row r="296">
      <c r="D296" s="12"/>
      <c r="M296" s="30"/>
    </row>
    <row r="297">
      <c r="D297" s="12"/>
      <c r="M297" s="30"/>
    </row>
    <row r="298">
      <c r="D298" s="12"/>
      <c r="M298" s="30"/>
    </row>
    <row r="299">
      <c r="D299" s="12"/>
      <c r="M299" s="30"/>
    </row>
    <row r="300">
      <c r="D300" s="12"/>
      <c r="M300" s="30"/>
    </row>
    <row r="301">
      <c r="D301" s="12"/>
      <c r="M301" s="30"/>
    </row>
    <row r="302">
      <c r="D302" s="12"/>
      <c r="M302" s="30"/>
    </row>
    <row r="303">
      <c r="D303" s="12"/>
      <c r="M303" s="30"/>
    </row>
    <row r="304">
      <c r="D304" s="12"/>
      <c r="M304" s="30"/>
    </row>
    <row r="305">
      <c r="D305" s="12"/>
      <c r="M305" s="30"/>
    </row>
    <row r="306">
      <c r="D306" s="12"/>
      <c r="M306" s="30"/>
    </row>
    <row r="307">
      <c r="D307" s="12"/>
      <c r="M307" s="30"/>
    </row>
    <row r="308">
      <c r="D308" s="12"/>
      <c r="M308" s="30"/>
    </row>
    <row r="309">
      <c r="D309" s="12"/>
      <c r="M309" s="30"/>
    </row>
    <row r="310">
      <c r="D310" s="12"/>
      <c r="M310" s="30"/>
    </row>
    <row r="311">
      <c r="D311" s="12"/>
      <c r="M311" s="30"/>
    </row>
    <row r="312">
      <c r="D312" s="12"/>
      <c r="M312" s="30"/>
    </row>
    <row r="313">
      <c r="D313" s="12"/>
      <c r="M313" s="30"/>
    </row>
    <row r="314">
      <c r="D314" s="12"/>
      <c r="M314" s="30"/>
    </row>
    <row r="315">
      <c r="D315" s="12"/>
      <c r="M315" s="30"/>
    </row>
    <row r="316">
      <c r="D316" s="12"/>
      <c r="M316" s="30"/>
    </row>
    <row r="317">
      <c r="D317" s="12"/>
      <c r="M317" s="30"/>
    </row>
    <row r="318">
      <c r="D318" s="12"/>
      <c r="M318" s="30"/>
    </row>
    <row r="319">
      <c r="D319" s="12"/>
      <c r="M319" s="30"/>
    </row>
    <row r="320">
      <c r="D320" s="12"/>
      <c r="M320" s="30"/>
    </row>
    <row r="321">
      <c r="D321" s="12"/>
      <c r="M321" s="30"/>
    </row>
    <row r="322">
      <c r="D322" s="12"/>
      <c r="M322" s="30"/>
    </row>
    <row r="323">
      <c r="D323" s="12"/>
      <c r="M323" s="30"/>
    </row>
    <row r="324">
      <c r="D324" s="12"/>
      <c r="M324" s="30"/>
    </row>
    <row r="325">
      <c r="D325" s="12"/>
      <c r="M325" s="30"/>
    </row>
    <row r="326">
      <c r="D326" s="12"/>
      <c r="M326" s="30"/>
    </row>
    <row r="327">
      <c r="D327" s="12"/>
      <c r="M327" s="30"/>
    </row>
    <row r="328">
      <c r="D328" s="12"/>
      <c r="M328" s="30"/>
    </row>
    <row r="329">
      <c r="D329" s="12"/>
      <c r="M329" s="30"/>
    </row>
    <row r="330">
      <c r="D330" s="12"/>
      <c r="M330" s="30"/>
    </row>
    <row r="331">
      <c r="D331" s="12"/>
      <c r="M331" s="30"/>
    </row>
    <row r="332">
      <c r="D332" s="12"/>
      <c r="M332" s="30"/>
    </row>
    <row r="333">
      <c r="D333" s="12"/>
      <c r="M333" s="30"/>
    </row>
    <row r="334">
      <c r="D334" s="12"/>
      <c r="M334" s="30"/>
    </row>
    <row r="335">
      <c r="D335" s="12"/>
      <c r="M335" s="30"/>
    </row>
    <row r="336">
      <c r="D336" s="12"/>
      <c r="M336" s="30"/>
    </row>
    <row r="337">
      <c r="D337" s="12"/>
      <c r="M337" s="30"/>
    </row>
    <row r="338">
      <c r="D338" s="12"/>
      <c r="M338" s="30"/>
    </row>
    <row r="339">
      <c r="D339" s="12"/>
      <c r="M339" s="30"/>
    </row>
    <row r="340">
      <c r="D340" s="12"/>
      <c r="M340" s="30"/>
    </row>
    <row r="341">
      <c r="D341" s="12"/>
      <c r="M341" s="30"/>
    </row>
    <row r="342">
      <c r="D342" s="12"/>
      <c r="M342" s="30"/>
    </row>
    <row r="343">
      <c r="D343" s="12"/>
      <c r="M343" s="30"/>
    </row>
    <row r="344">
      <c r="D344" s="12"/>
      <c r="M344" s="30"/>
    </row>
    <row r="345">
      <c r="D345" s="12"/>
      <c r="M345" s="30"/>
    </row>
    <row r="346">
      <c r="D346" s="12"/>
      <c r="M346" s="30"/>
    </row>
    <row r="347">
      <c r="D347" s="12"/>
      <c r="M347" s="30"/>
    </row>
    <row r="348">
      <c r="D348" s="12"/>
      <c r="M348" s="30"/>
    </row>
    <row r="349">
      <c r="D349" s="12"/>
      <c r="M349" s="30"/>
    </row>
    <row r="350">
      <c r="D350" s="12"/>
      <c r="M350" s="30"/>
    </row>
    <row r="351">
      <c r="D351" s="12"/>
      <c r="M351" s="30"/>
    </row>
    <row r="352">
      <c r="D352" s="12"/>
      <c r="M352" s="30"/>
    </row>
    <row r="353">
      <c r="D353" s="12"/>
      <c r="M353" s="30"/>
    </row>
    <row r="354">
      <c r="D354" s="12"/>
      <c r="M354" s="30"/>
    </row>
    <row r="355">
      <c r="D355" s="12"/>
      <c r="M355" s="30"/>
    </row>
    <row r="356">
      <c r="D356" s="12"/>
      <c r="M356" s="30"/>
    </row>
    <row r="357">
      <c r="D357" s="12"/>
      <c r="M357" s="30"/>
    </row>
    <row r="358">
      <c r="D358" s="12"/>
      <c r="M358" s="30"/>
    </row>
    <row r="359">
      <c r="D359" s="12"/>
      <c r="M359" s="30"/>
    </row>
    <row r="360">
      <c r="D360" s="12"/>
      <c r="M360" s="30"/>
    </row>
    <row r="361">
      <c r="D361" s="12"/>
      <c r="M361" s="30"/>
    </row>
    <row r="362">
      <c r="D362" s="12"/>
      <c r="M362" s="30"/>
    </row>
    <row r="363">
      <c r="D363" s="12"/>
      <c r="M363" s="30"/>
    </row>
    <row r="364">
      <c r="D364" s="12"/>
      <c r="M364" s="30"/>
    </row>
    <row r="365">
      <c r="D365" s="12"/>
      <c r="M365" s="30"/>
    </row>
    <row r="366">
      <c r="D366" s="12"/>
      <c r="M366" s="30"/>
    </row>
    <row r="367">
      <c r="D367" s="12"/>
      <c r="M367" s="30"/>
    </row>
    <row r="368">
      <c r="D368" s="12"/>
      <c r="M368" s="30"/>
    </row>
    <row r="369">
      <c r="D369" s="12"/>
      <c r="M369" s="30"/>
    </row>
    <row r="370">
      <c r="D370" s="12"/>
      <c r="M370" s="30"/>
    </row>
    <row r="371">
      <c r="D371" s="12"/>
      <c r="M371" s="30"/>
    </row>
    <row r="372">
      <c r="D372" s="12"/>
      <c r="M372" s="30"/>
    </row>
    <row r="373">
      <c r="D373" s="12"/>
      <c r="M373" s="30"/>
    </row>
    <row r="374">
      <c r="D374" s="12"/>
      <c r="M374" s="30"/>
    </row>
    <row r="375">
      <c r="D375" s="12"/>
      <c r="M375" s="30"/>
    </row>
    <row r="376">
      <c r="D376" s="12"/>
      <c r="M376" s="30"/>
    </row>
    <row r="377">
      <c r="D377" s="12"/>
      <c r="M377" s="30"/>
    </row>
    <row r="378">
      <c r="D378" s="12"/>
      <c r="M378" s="30"/>
    </row>
    <row r="379">
      <c r="D379" s="12"/>
      <c r="M379" s="30"/>
    </row>
    <row r="380">
      <c r="D380" s="12"/>
      <c r="M380" s="30"/>
    </row>
    <row r="381">
      <c r="D381" s="12"/>
      <c r="M381" s="30"/>
    </row>
    <row r="382">
      <c r="D382" s="12"/>
      <c r="M382" s="30"/>
    </row>
    <row r="383">
      <c r="D383" s="12"/>
      <c r="M383" s="30"/>
    </row>
    <row r="384">
      <c r="D384" s="12"/>
      <c r="M384" s="30"/>
    </row>
    <row r="385">
      <c r="D385" s="12"/>
      <c r="M385" s="30"/>
    </row>
    <row r="386">
      <c r="D386" s="12"/>
      <c r="M386" s="30"/>
    </row>
    <row r="387">
      <c r="D387" s="12"/>
      <c r="M387" s="30"/>
    </row>
    <row r="388">
      <c r="D388" s="12"/>
      <c r="M388" s="30"/>
    </row>
    <row r="389">
      <c r="D389" s="12"/>
      <c r="M389" s="30"/>
    </row>
    <row r="390">
      <c r="D390" s="12"/>
      <c r="M390" s="30"/>
    </row>
    <row r="391">
      <c r="D391" s="12"/>
      <c r="M391" s="30"/>
    </row>
    <row r="392">
      <c r="D392" s="12"/>
      <c r="M392" s="30"/>
    </row>
    <row r="393">
      <c r="D393" s="12"/>
      <c r="M393" s="30"/>
    </row>
    <row r="394">
      <c r="D394" s="12"/>
      <c r="M394" s="30"/>
    </row>
    <row r="395">
      <c r="D395" s="12"/>
      <c r="M395" s="30"/>
    </row>
    <row r="396">
      <c r="D396" s="12"/>
      <c r="M396" s="30"/>
    </row>
    <row r="397">
      <c r="D397" s="12"/>
      <c r="M397" s="30"/>
    </row>
    <row r="398">
      <c r="D398" s="12"/>
      <c r="M398" s="30"/>
    </row>
    <row r="399">
      <c r="D399" s="12"/>
      <c r="M399" s="30"/>
    </row>
    <row r="400">
      <c r="D400" s="12"/>
      <c r="M400" s="30"/>
    </row>
    <row r="401">
      <c r="D401" s="12"/>
      <c r="M401" s="30"/>
    </row>
    <row r="402">
      <c r="D402" s="12"/>
      <c r="M402" s="30"/>
    </row>
    <row r="403">
      <c r="D403" s="12"/>
      <c r="M403" s="30"/>
    </row>
    <row r="404">
      <c r="D404" s="12"/>
      <c r="M404" s="30"/>
    </row>
    <row r="405">
      <c r="D405" s="12"/>
      <c r="M405" s="30"/>
    </row>
    <row r="406">
      <c r="D406" s="12"/>
      <c r="M406" s="30"/>
    </row>
    <row r="407">
      <c r="D407" s="12"/>
      <c r="M407" s="30"/>
    </row>
    <row r="408">
      <c r="D408" s="12"/>
      <c r="M408" s="30"/>
    </row>
    <row r="409">
      <c r="D409" s="12"/>
      <c r="M409" s="30"/>
    </row>
    <row r="410">
      <c r="D410" s="12"/>
      <c r="M410" s="30"/>
    </row>
    <row r="411">
      <c r="D411" s="12"/>
      <c r="M411" s="30"/>
    </row>
    <row r="412">
      <c r="D412" s="12"/>
      <c r="M412" s="30"/>
    </row>
    <row r="413">
      <c r="D413" s="12"/>
      <c r="M413" s="30"/>
    </row>
    <row r="414">
      <c r="D414" s="12"/>
      <c r="M414" s="30"/>
    </row>
    <row r="415">
      <c r="D415" s="12"/>
      <c r="M415" s="30"/>
    </row>
    <row r="416">
      <c r="D416" s="12"/>
      <c r="M416" s="30"/>
    </row>
    <row r="417">
      <c r="D417" s="12"/>
      <c r="M417" s="30"/>
    </row>
    <row r="418">
      <c r="D418" s="12"/>
      <c r="M418" s="30"/>
    </row>
    <row r="419">
      <c r="D419" s="12"/>
      <c r="M419" s="30"/>
    </row>
    <row r="420">
      <c r="D420" s="12"/>
      <c r="M420" s="30"/>
    </row>
    <row r="421">
      <c r="D421" s="12"/>
      <c r="M421" s="30"/>
    </row>
    <row r="422">
      <c r="D422" s="12"/>
      <c r="M422" s="30"/>
    </row>
    <row r="423">
      <c r="D423" s="12"/>
      <c r="M423" s="30"/>
    </row>
    <row r="424">
      <c r="D424" s="12"/>
      <c r="M424" s="30"/>
    </row>
    <row r="425">
      <c r="D425" s="12"/>
      <c r="M425" s="30"/>
    </row>
    <row r="426">
      <c r="D426" s="12"/>
      <c r="M426" s="30"/>
    </row>
    <row r="427">
      <c r="D427" s="12"/>
      <c r="M427" s="30"/>
    </row>
    <row r="428">
      <c r="D428" s="12"/>
      <c r="M428" s="30"/>
    </row>
    <row r="429">
      <c r="D429" s="12"/>
      <c r="M429" s="30"/>
    </row>
    <row r="430">
      <c r="D430" s="12"/>
      <c r="M430" s="30"/>
    </row>
    <row r="431">
      <c r="D431" s="12"/>
      <c r="M431" s="30"/>
    </row>
    <row r="432">
      <c r="D432" s="12"/>
      <c r="M432" s="30"/>
    </row>
    <row r="433">
      <c r="D433" s="12"/>
      <c r="M433" s="30"/>
    </row>
    <row r="434">
      <c r="D434" s="12"/>
      <c r="M434" s="30"/>
    </row>
    <row r="435">
      <c r="D435" s="12"/>
      <c r="M435" s="30"/>
    </row>
    <row r="436">
      <c r="D436" s="12"/>
      <c r="M436" s="30"/>
    </row>
    <row r="437">
      <c r="D437" s="12"/>
      <c r="M437" s="30"/>
    </row>
    <row r="438">
      <c r="D438" s="12"/>
      <c r="M438" s="30"/>
    </row>
    <row r="439">
      <c r="D439" s="12"/>
      <c r="M439" s="30"/>
    </row>
    <row r="440">
      <c r="D440" s="12"/>
      <c r="M440" s="30"/>
    </row>
    <row r="441">
      <c r="D441" s="12"/>
      <c r="M441" s="30"/>
    </row>
    <row r="442">
      <c r="D442" s="12"/>
      <c r="M442" s="30"/>
    </row>
    <row r="443">
      <c r="D443" s="12"/>
      <c r="M443" s="30"/>
    </row>
    <row r="444">
      <c r="D444" s="12"/>
      <c r="M444" s="30"/>
    </row>
    <row r="445">
      <c r="D445" s="12"/>
      <c r="M445" s="30"/>
    </row>
    <row r="446">
      <c r="D446" s="12"/>
      <c r="M446" s="30"/>
    </row>
    <row r="447">
      <c r="D447" s="12"/>
      <c r="M447" s="30"/>
    </row>
    <row r="448">
      <c r="D448" s="12"/>
      <c r="M448" s="30"/>
    </row>
    <row r="449">
      <c r="D449" s="12"/>
      <c r="M449" s="30"/>
    </row>
    <row r="450">
      <c r="D450" s="12"/>
      <c r="M450" s="30"/>
    </row>
    <row r="451">
      <c r="D451" s="12"/>
      <c r="M451" s="30"/>
    </row>
    <row r="452">
      <c r="D452" s="12"/>
      <c r="M452" s="30"/>
    </row>
    <row r="453">
      <c r="D453" s="12"/>
      <c r="M453" s="30"/>
    </row>
    <row r="454">
      <c r="D454" s="12"/>
      <c r="M454" s="30"/>
    </row>
    <row r="455">
      <c r="D455" s="12"/>
      <c r="M455" s="30"/>
    </row>
    <row r="456">
      <c r="D456" s="12"/>
      <c r="M456" s="30"/>
    </row>
    <row r="457">
      <c r="D457" s="12"/>
      <c r="M457" s="30"/>
    </row>
    <row r="458">
      <c r="D458" s="12"/>
      <c r="M458" s="30"/>
    </row>
    <row r="459">
      <c r="D459" s="12"/>
      <c r="M459" s="30"/>
    </row>
    <row r="460">
      <c r="D460" s="12"/>
      <c r="M460" s="30"/>
    </row>
    <row r="461">
      <c r="D461" s="12"/>
      <c r="M461" s="30"/>
    </row>
    <row r="462">
      <c r="D462" s="12"/>
      <c r="M462" s="30"/>
    </row>
    <row r="463">
      <c r="D463" s="12"/>
      <c r="M463" s="30"/>
    </row>
    <row r="464">
      <c r="D464" s="12"/>
      <c r="M464" s="30"/>
    </row>
    <row r="465">
      <c r="D465" s="12"/>
      <c r="M465" s="30"/>
    </row>
    <row r="466">
      <c r="D466" s="12"/>
      <c r="M466" s="30"/>
    </row>
    <row r="467">
      <c r="D467" s="12"/>
      <c r="M467" s="30"/>
    </row>
    <row r="468">
      <c r="D468" s="12"/>
      <c r="M468" s="30"/>
    </row>
    <row r="469">
      <c r="D469" s="12"/>
      <c r="M469" s="30"/>
    </row>
    <row r="470">
      <c r="D470" s="12"/>
      <c r="M470" s="30"/>
    </row>
    <row r="471">
      <c r="D471" s="12"/>
      <c r="M471" s="30"/>
    </row>
    <row r="472">
      <c r="D472" s="12"/>
      <c r="M472" s="30"/>
    </row>
    <row r="473">
      <c r="D473" s="12"/>
      <c r="M473" s="30"/>
    </row>
    <row r="474">
      <c r="D474" s="12"/>
      <c r="M474" s="30"/>
    </row>
    <row r="475">
      <c r="D475" s="12"/>
      <c r="M475" s="30"/>
    </row>
    <row r="476">
      <c r="D476" s="12"/>
      <c r="M476" s="30"/>
    </row>
    <row r="477">
      <c r="D477" s="12"/>
      <c r="M477" s="30"/>
    </row>
    <row r="478">
      <c r="D478" s="12"/>
      <c r="M478" s="30"/>
    </row>
    <row r="479">
      <c r="D479" s="12"/>
      <c r="M479" s="30"/>
    </row>
    <row r="480">
      <c r="D480" s="12"/>
      <c r="M480" s="30"/>
    </row>
    <row r="481">
      <c r="D481" s="12"/>
      <c r="M481" s="30"/>
    </row>
    <row r="482">
      <c r="D482" s="12"/>
      <c r="M482" s="30"/>
    </row>
    <row r="483">
      <c r="D483" s="12"/>
      <c r="M483" s="30"/>
    </row>
    <row r="484">
      <c r="D484" s="12"/>
      <c r="M484" s="30"/>
    </row>
    <row r="485">
      <c r="D485" s="12"/>
      <c r="M485" s="30"/>
    </row>
    <row r="486">
      <c r="D486" s="12"/>
      <c r="M486" s="30"/>
    </row>
    <row r="487">
      <c r="D487" s="12"/>
      <c r="M487" s="30"/>
    </row>
    <row r="488">
      <c r="D488" s="12"/>
      <c r="M488" s="30"/>
    </row>
    <row r="489">
      <c r="D489" s="12"/>
      <c r="M489" s="30"/>
    </row>
    <row r="490">
      <c r="D490" s="12"/>
      <c r="M490" s="30"/>
    </row>
    <row r="491">
      <c r="D491" s="12"/>
      <c r="M491" s="30"/>
    </row>
    <row r="492">
      <c r="D492" s="12"/>
      <c r="M492" s="30"/>
    </row>
    <row r="493">
      <c r="D493" s="12"/>
      <c r="M493" s="30"/>
    </row>
    <row r="494">
      <c r="D494" s="12"/>
      <c r="M494" s="30"/>
    </row>
    <row r="495">
      <c r="D495" s="12"/>
      <c r="M495" s="30"/>
    </row>
    <row r="496">
      <c r="D496" s="12"/>
      <c r="M496" s="30"/>
    </row>
    <row r="497">
      <c r="D497" s="12"/>
      <c r="M497" s="30"/>
    </row>
    <row r="498">
      <c r="D498" s="12"/>
      <c r="M498" s="30"/>
    </row>
    <row r="499">
      <c r="D499" s="12"/>
      <c r="M499" s="30"/>
    </row>
    <row r="500">
      <c r="D500" s="12"/>
      <c r="M500" s="30"/>
    </row>
    <row r="501">
      <c r="D501" s="12"/>
      <c r="M501" s="30"/>
    </row>
    <row r="502">
      <c r="D502" s="12"/>
      <c r="M502" s="30"/>
    </row>
    <row r="503">
      <c r="D503" s="12"/>
      <c r="M503" s="30"/>
    </row>
    <row r="504">
      <c r="D504" s="12"/>
      <c r="M504" s="30"/>
    </row>
    <row r="505">
      <c r="D505" s="12"/>
      <c r="M505" s="30"/>
    </row>
    <row r="506">
      <c r="D506" s="12"/>
      <c r="M506" s="30"/>
    </row>
    <row r="507">
      <c r="D507" s="12"/>
      <c r="M507" s="30"/>
    </row>
    <row r="508">
      <c r="D508" s="12"/>
      <c r="M508" s="30"/>
    </row>
    <row r="509">
      <c r="D509" s="12"/>
      <c r="M509" s="30"/>
    </row>
    <row r="510">
      <c r="D510" s="12"/>
      <c r="M510" s="30"/>
    </row>
    <row r="511">
      <c r="D511" s="12"/>
      <c r="M511" s="30"/>
    </row>
    <row r="512">
      <c r="D512" s="12"/>
      <c r="M512" s="30"/>
    </row>
    <row r="513">
      <c r="D513" s="12"/>
      <c r="M513" s="30"/>
    </row>
    <row r="514">
      <c r="D514" s="12"/>
      <c r="M514" s="30"/>
    </row>
    <row r="515">
      <c r="D515" s="12"/>
      <c r="M515" s="30"/>
    </row>
    <row r="516">
      <c r="D516" s="12"/>
      <c r="M516" s="30"/>
    </row>
    <row r="517">
      <c r="D517" s="12"/>
      <c r="M517" s="30"/>
    </row>
    <row r="518">
      <c r="D518" s="12"/>
      <c r="M518" s="30"/>
    </row>
    <row r="519">
      <c r="D519" s="12"/>
      <c r="M519" s="30"/>
    </row>
    <row r="520">
      <c r="D520" s="12"/>
      <c r="M520" s="30"/>
    </row>
    <row r="521">
      <c r="D521" s="12"/>
      <c r="M521" s="30"/>
    </row>
    <row r="522">
      <c r="D522" s="12"/>
      <c r="M522" s="30"/>
    </row>
    <row r="523">
      <c r="D523" s="12"/>
      <c r="M523" s="30"/>
    </row>
    <row r="524">
      <c r="D524" s="12"/>
      <c r="M524" s="30"/>
    </row>
    <row r="525">
      <c r="D525" s="12"/>
      <c r="M525" s="30"/>
    </row>
    <row r="526">
      <c r="D526" s="12"/>
      <c r="M526" s="30"/>
    </row>
    <row r="527">
      <c r="D527" s="12"/>
      <c r="M527" s="30"/>
    </row>
    <row r="528">
      <c r="D528" s="12"/>
      <c r="M528" s="30"/>
    </row>
    <row r="529">
      <c r="D529" s="12"/>
      <c r="M529" s="30"/>
    </row>
    <row r="530">
      <c r="D530" s="12"/>
      <c r="M530" s="30"/>
    </row>
    <row r="531">
      <c r="D531" s="12"/>
      <c r="M531" s="30"/>
    </row>
    <row r="532">
      <c r="D532" s="12"/>
      <c r="M532" s="30"/>
    </row>
    <row r="533">
      <c r="D533" s="12"/>
      <c r="M533" s="30"/>
    </row>
    <row r="534">
      <c r="D534" s="12"/>
      <c r="M534" s="30"/>
    </row>
    <row r="535">
      <c r="D535" s="12"/>
      <c r="M535" s="30"/>
    </row>
    <row r="536">
      <c r="D536" s="12"/>
      <c r="M536" s="30"/>
    </row>
    <row r="537">
      <c r="D537" s="12"/>
      <c r="M537" s="30"/>
    </row>
    <row r="538">
      <c r="D538" s="12"/>
      <c r="M538" s="30"/>
    </row>
    <row r="539">
      <c r="D539" s="12"/>
      <c r="M539" s="30"/>
    </row>
    <row r="540">
      <c r="D540" s="12"/>
      <c r="M540" s="30"/>
    </row>
    <row r="541">
      <c r="D541" s="12"/>
      <c r="M541" s="30"/>
    </row>
    <row r="542">
      <c r="D542" s="12"/>
      <c r="M542" s="30"/>
    </row>
    <row r="543">
      <c r="D543" s="12"/>
      <c r="M543" s="30"/>
    </row>
    <row r="544">
      <c r="D544" s="12"/>
      <c r="M544" s="30"/>
    </row>
    <row r="545">
      <c r="D545" s="12"/>
      <c r="M545" s="30"/>
    </row>
    <row r="546">
      <c r="D546" s="12"/>
      <c r="M546" s="30"/>
    </row>
    <row r="547">
      <c r="D547" s="12"/>
      <c r="M547" s="30"/>
    </row>
    <row r="548">
      <c r="D548" s="12"/>
      <c r="M548" s="30"/>
    </row>
    <row r="549">
      <c r="D549" s="12"/>
      <c r="M549" s="30"/>
    </row>
    <row r="550">
      <c r="D550" s="12"/>
      <c r="M550" s="30"/>
    </row>
    <row r="551">
      <c r="D551" s="12"/>
      <c r="M551" s="30"/>
    </row>
    <row r="552">
      <c r="D552" s="12"/>
      <c r="M552" s="30"/>
    </row>
    <row r="553">
      <c r="D553" s="12"/>
      <c r="M553" s="30"/>
    </row>
    <row r="554">
      <c r="D554" s="12"/>
      <c r="M554" s="30"/>
    </row>
    <row r="555">
      <c r="D555" s="12"/>
      <c r="M555" s="30"/>
    </row>
    <row r="556">
      <c r="D556" s="12"/>
      <c r="M556" s="30"/>
    </row>
    <row r="557">
      <c r="D557" s="12"/>
      <c r="M557" s="30"/>
    </row>
    <row r="558">
      <c r="D558" s="12"/>
      <c r="M558" s="30"/>
    </row>
    <row r="559">
      <c r="D559" s="12"/>
      <c r="M559" s="30"/>
    </row>
    <row r="560">
      <c r="D560" s="12"/>
      <c r="M560" s="30"/>
    </row>
    <row r="561">
      <c r="D561" s="12"/>
      <c r="M561" s="30"/>
    </row>
    <row r="562">
      <c r="D562" s="12"/>
      <c r="M562" s="30"/>
    </row>
    <row r="563">
      <c r="D563" s="12"/>
      <c r="M563" s="30"/>
    </row>
    <row r="564">
      <c r="D564" s="12"/>
      <c r="M564" s="30"/>
    </row>
    <row r="565">
      <c r="D565" s="12"/>
      <c r="M565" s="30"/>
    </row>
    <row r="566">
      <c r="D566" s="12"/>
      <c r="M566" s="30"/>
    </row>
    <row r="567">
      <c r="D567" s="12"/>
      <c r="M567" s="30"/>
    </row>
    <row r="568">
      <c r="D568" s="12"/>
      <c r="M568" s="30"/>
    </row>
    <row r="569">
      <c r="D569" s="12"/>
      <c r="M569" s="30"/>
    </row>
    <row r="570">
      <c r="D570" s="12"/>
      <c r="M570" s="30"/>
    </row>
    <row r="571">
      <c r="D571" s="12"/>
      <c r="M571" s="30"/>
    </row>
    <row r="572">
      <c r="D572" s="12"/>
      <c r="M572" s="30"/>
    </row>
    <row r="573">
      <c r="D573" s="12"/>
      <c r="M573" s="30"/>
    </row>
    <row r="574">
      <c r="D574" s="12"/>
      <c r="M574" s="30"/>
    </row>
    <row r="575">
      <c r="D575" s="12"/>
      <c r="M575" s="30"/>
    </row>
    <row r="576">
      <c r="D576" s="12"/>
      <c r="M576" s="30"/>
    </row>
    <row r="577">
      <c r="D577" s="12"/>
      <c r="M577" s="30"/>
    </row>
    <row r="578">
      <c r="D578" s="12"/>
      <c r="M578" s="30"/>
    </row>
    <row r="579">
      <c r="D579" s="12"/>
      <c r="M579" s="30"/>
    </row>
    <row r="580">
      <c r="D580" s="12"/>
      <c r="M580" s="30"/>
    </row>
    <row r="581">
      <c r="D581" s="12"/>
      <c r="M581" s="30"/>
    </row>
    <row r="582">
      <c r="D582" s="12"/>
      <c r="M582" s="30"/>
    </row>
    <row r="583">
      <c r="D583" s="12"/>
      <c r="M583" s="30"/>
    </row>
    <row r="584">
      <c r="D584" s="12"/>
      <c r="M584" s="30"/>
    </row>
    <row r="585">
      <c r="D585" s="12"/>
      <c r="M585" s="30"/>
    </row>
    <row r="586">
      <c r="D586" s="12"/>
      <c r="M586" s="30"/>
    </row>
    <row r="587">
      <c r="D587" s="12"/>
      <c r="M587" s="30"/>
    </row>
    <row r="588">
      <c r="D588" s="12"/>
      <c r="M588" s="30"/>
    </row>
    <row r="589">
      <c r="D589" s="12"/>
      <c r="M589" s="30"/>
    </row>
    <row r="590">
      <c r="D590" s="12"/>
      <c r="M590" s="30"/>
    </row>
    <row r="591">
      <c r="D591" s="12"/>
      <c r="M591" s="30"/>
    </row>
    <row r="592">
      <c r="D592" s="12"/>
      <c r="M592" s="30"/>
    </row>
    <row r="593">
      <c r="D593" s="12"/>
      <c r="M593" s="30"/>
    </row>
    <row r="594">
      <c r="D594" s="12"/>
      <c r="M594" s="30"/>
    </row>
    <row r="595">
      <c r="D595" s="12"/>
      <c r="M595" s="30"/>
    </row>
    <row r="596">
      <c r="D596" s="12"/>
      <c r="M596" s="30"/>
    </row>
    <row r="597">
      <c r="D597" s="12"/>
      <c r="M597" s="30"/>
    </row>
    <row r="598">
      <c r="D598" s="12"/>
      <c r="M598" s="30"/>
    </row>
    <row r="599">
      <c r="D599" s="12"/>
      <c r="M599" s="30"/>
    </row>
    <row r="600">
      <c r="D600" s="12"/>
      <c r="M600" s="30"/>
    </row>
    <row r="601">
      <c r="D601" s="12"/>
      <c r="M601" s="30"/>
    </row>
    <row r="602">
      <c r="D602" s="12"/>
      <c r="M602" s="30"/>
    </row>
    <row r="603">
      <c r="D603" s="12"/>
      <c r="M603" s="30"/>
    </row>
    <row r="604">
      <c r="D604" s="12"/>
      <c r="M604" s="30"/>
    </row>
    <row r="605">
      <c r="D605" s="12"/>
      <c r="M605" s="30"/>
    </row>
    <row r="606">
      <c r="D606" s="12"/>
      <c r="M606" s="30"/>
    </row>
    <row r="607">
      <c r="D607" s="12"/>
      <c r="M607" s="30"/>
    </row>
    <row r="608">
      <c r="D608" s="12"/>
      <c r="M608" s="30"/>
    </row>
    <row r="609">
      <c r="D609" s="12"/>
      <c r="M609" s="30"/>
    </row>
    <row r="610">
      <c r="D610" s="12"/>
      <c r="M610" s="30"/>
    </row>
    <row r="611">
      <c r="D611" s="12"/>
      <c r="M611" s="30"/>
    </row>
    <row r="612">
      <c r="D612" s="12"/>
      <c r="M612" s="30"/>
    </row>
    <row r="613">
      <c r="D613" s="12"/>
      <c r="M613" s="30"/>
    </row>
    <row r="614">
      <c r="D614" s="12"/>
      <c r="M614" s="30"/>
    </row>
    <row r="615">
      <c r="D615" s="12"/>
      <c r="M615" s="30"/>
    </row>
    <row r="616">
      <c r="D616" s="12"/>
      <c r="M616" s="30"/>
    </row>
    <row r="617">
      <c r="D617" s="12"/>
      <c r="M617" s="30"/>
    </row>
    <row r="618">
      <c r="D618" s="12"/>
      <c r="M618" s="30"/>
    </row>
    <row r="619">
      <c r="D619" s="12"/>
      <c r="M619" s="30"/>
    </row>
    <row r="620">
      <c r="D620" s="12"/>
      <c r="M620" s="30"/>
    </row>
    <row r="621">
      <c r="D621" s="12"/>
      <c r="M621" s="30"/>
    </row>
    <row r="622">
      <c r="D622" s="12"/>
      <c r="M622" s="30"/>
    </row>
    <row r="623">
      <c r="D623" s="12"/>
      <c r="M623" s="30"/>
    </row>
    <row r="624">
      <c r="D624" s="12"/>
      <c r="M624" s="30"/>
    </row>
    <row r="625">
      <c r="D625" s="12"/>
      <c r="M625" s="30"/>
    </row>
    <row r="626">
      <c r="D626" s="12"/>
      <c r="M626" s="30"/>
    </row>
    <row r="627">
      <c r="D627" s="12"/>
      <c r="M627" s="30"/>
    </row>
    <row r="628">
      <c r="D628" s="12"/>
      <c r="M628" s="30"/>
    </row>
    <row r="629">
      <c r="D629" s="12"/>
      <c r="M629" s="30"/>
    </row>
    <row r="630">
      <c r="D630" s="12"/>
      <c r="M630" s="30"/>
    </row>
    <row r="631">
      <c r="D631" s="12"/>
      <c r="M631" s="30"/>
    </row>
    <row r="632">
      <c r="D632" s="12"/>
      <c r="M632" s="30"/>
    </row>
    <row r="633">
      <c r="D633" s="12"/>
      <c r="M633" s="30"/>
    </row>
    <row r="634">
      <c r="D634" s="12"/>
      <c r="M634" s="30"/>
    </row>
    <row r="635">
      <c r="D635" s="12"/>
      <c r="M635" s="30"/>
    </row>
    <row r="636">
      <c r="D636" s="12"/>
      <c r="M636" s="30"/>
    </row>
    <row r="637">
      <c r="D637" s="12"/>
      <c r="M637" s="30"/>
    </row>
    <row r="638">
      <c r="D638" s="12"/>
      <c r="M638" s="30"/>
    </row>
    <row r="639">
      <c r="D639" s="12"/>
      <c r="M639" s="30"/>
    </row>
    <row r="640">
      <c r="D640" s="12"/>
      <c r="M640" s="30"/>
    </row>
    <row r="641">
      <c r="D641" s="12"/>
      <c r="M641" s="30"/>
    </row>
    <row r="642">
      <c r="D642" s="12"/>
      <c r="M642" s="30"/>
    </row>
    <row r="643">
      <c r="D643" s="12"/>
      <c r="M643" s="30"/>
    </row>
    <row r="644">
      <c r="D644" s="12"/>
      <c r="M644" s="30"/>
    </row>
    <row r="645">
      <c r="D645" s="12"/>
      <c r="M645" s="30"/>
    </row>
    <row r="646">
      <c r="D646" s="12"/>
      <c r="M646" s="30"/>
    </row>
    <row r="647">
      <c r="D647" s="12"/>
      <c r="M647" s="30"/>
    </row>
    <row r="648">
      <c r="D648" s="12"/>
      <c r="M648" s="30"/>
    </row>
    <row r="649">
      <c r="D649" s="12"/>
      <c r="M649" s="30"/>
    </row>
    <row r="650">
      <c r="D650" s="12"/>
      <c r="M650" s="30"/>
    </row>
    <row r="651">
      <c r="D651" s="12"/>
      <c r="M651" s="30"/>
    </row>
    <row r="652">
      <c r="D652" s="12"/>
      <c r="M652" s="30"/>
    </row>
    <row r="653">
      <c r="D653" s="12"/>
      <c r="M653" s="30"/>
    </row>
    <row r="654">
      <c r="D654" s="12"/>
      <c r="M654" s="30"/>
    </row>
    <row r="655">
      <c r="D655" s="12"/>
      <c r="M655" s="30"/>
    </row>
    <row r="656">
      <c r="D656" s="12"/>
      <c r="M656" s="30"/>
    </row>
    <row r="657">
      <c r="D657" s="12"/>
      <c r="M657" s="30"/>
    </row>
    <row r="658">
      <c r="D658" s="12"/>
      <c r="M658" s="30"/>
    </row>
    <row r="659">
      <c r="D659" s="12"/>
      <c r="M659" s="30"/>
    </row>
    <row r="660">
      <c r="D660" s="12"/>
      <c r="M660" s="30"/>
    </row>
    <row r="661">
      <c r="D661" s="12"/>
      <c r="M661" s="30"/>
    </row>
    <row r="662">
      <c r="D662" s="12"/>
      <c r="M662" s="30"/>
    </row>
    <row r="663">
      <c r="D663" s="12"/>
      <c r="M663" s="30"/>
    </row>
    <row r="664">
      <c r="D664" s="12"/>
      <c r="M664" s="30"/>
    </row>
    <row r="665">
      <c r="D665" s="12"/>
      <c r="M665" s="30"/>
    </row>
    <row r="666">
      <c r="D666" s="12"/>
      <c r="M666" s="30"/>
    </row>
    <row r="667">
      <c r="D667" s="12"/>
      <c r="M667" s="30"/>
    </row>
    <row r="668">
      <c r="D668" s="12"/>
      <c r="M668" s="30"/>
    </row>
    <row r="669">
      <c r="D669" s="12"/>
      <c r="M669" s="30"/>
    </row>
    <row r="670">
      <c r="D670" s="12"/>
      <c r="M670" s="30"/>
    </row>
    <row r="671">
      <c r="D671" s="12"/>
      <c r="M671" s="30"/>
    </row>
    <row r="672">
      <c r="D672" s="12"/>
      <c r="M672" s="30"/>
    </row>
    <row r="673">
      <c r="D673" s="12"/>
      <c r="M673" s="30"/>
    </row>
    <row r="674">
      <c r="D674" s="12"/>
      <c r="M674" s="30"/>
    </row>
    <row r="675">
      <c r="D675" s="12"/>
      <c r="M675" s="30"/>
    </row>
    <row r="676">
      <c r="D676" s="12"/>
      <c r="M676" s="30"/>
    </row>
    <row r="677">
      <c r="D677" s="12"/>
      <c r="M677" s="30"/>
    </row>
    <row r="678">
      <c r="D678" s="12"/>
      <c r="M678" s="30"/>
    </row>
    <row r="679">
      <c r="D679" s="12"/>
      <c r="M679" s="30"/>
    </row>
    <row r="680">
      <c r="D680" s="12"/>
      <c r="M680" s="30"/>
    </row>
    <row r="681">
      <c r="D681" s="12"/>
      <c r="M681" s="30"/>
    </row>
    <row r="682">
      <c r="D682" s="12"/>
      <c r="M682" s="30"/>
    </row>
    <row r="683">
      <c r="D683" s="12"/>
      <c r="M683" s="30"/>
    </row>
    <row r="684">
      <c r="D684" s="12"/>
      <c r="M684" s="30"/>
    </row>
    <row r="685">
      <c r="D685" s="12"/>
      <c r="M685" s="30"/>
    </row>
    <row r="686">
      <c r="D686" s="12"/>
      <c r="M686" s="30"/>
    </row>
    <row r="687">
      <c r="D687" s="12"/>
      <c r="M687" s="30"/>
    </row>
    <row r="688">
      <c r="D688" s="12"/>
      <c r="M688" s="30"/>
    </row>
    <row r="689">
      <c r="D689" s="12"/>
      <c r="M689" s="30"/>
    </row>
    <row r="690">
      <c r="D690" s="12"/>
      <c r="M690" s="30"/>
    </row>
    <row r="691">
      <c r="D691" s="12"/>
      <c r="M691" s="30"/>
    </row>
    <row r="692">
      <c r="D692" s="12"/>
      <c r="M692" s="30"/>
    </row>
    <row r="693">
      <c r="D693" s="12"/>
      <c r="M693" s="30"/>
    </row>
    <row r="694">
      <c r="D694" s="12"/>
      <c r="M694" s="30"/>
    </row>
    <row r="695">
      <c r="D695" s="12"/>
      <c r="M695" s="30"/>
    </row>
    <row r="696">
      <c r="D696" s="12"/>
      <c r="M696" s="30"/>
    </row>
    <row r="697">
      <c r="D697" s="12"/>
      <c r="M697" s="30"/>
    </row>
    <row r="698">
      <c r="D698" s="12"/>
      <c r="M698" s="30"/>
    </row>
    <row r="699">
      <c r="D699" s="12"/>
      <c r="M699" s="30"/>
    </row>
    <row r="700">
      <c r="D700" s="12"/>
      <c r="M700" s="30"/>
    </row>
    <row r="701">
      <c r="D701" s="12"/>
      <c r="M701" s="30"/>
    </row>
    <row r="702">
      <c r="D702" s="12"/>
      <c r="M702" s="30"/>
    </row>
    <row r="703">
      <c r="D703" s="12"/>
      <c r="M703" s="30"/>
    </row>
    <row r="704">
      <c r="D704" s="12"/>
      <c r="M704" s="30"/>
    </row>
    <row r="705">
      <c r="D705" s="12"/>
      <c r="M705" s="30"/>
    </row>
    <row r="706">
      <c r="D706" s="12"/>
      <c r="M706" s="30"/>
    </row>
    <row r="707">
      <c r="D707" s="12"/>
      <c r="M707" s="30"/>
    </row>
    <row r="708">
      <c r="D708" s="12"/>
      <c r="M708" s="30"/>
    </row>
    <row r="709">
      <c r="D709" s="12"/>
      <c r="M709" s="30"/>
    </row>
    <row r="710">
      <c r="D710" s="12"/>
      <c r="M710" s="30"/>
    </row>
    <row r="711">
      <c r="D711" s="12"/>
      <c r="M711" s="30"/>
    </row>
    <row r="712">
      <c r="D712" s="12"/>
      <c r="M712" s="30"/>
    </row>
    <row r="713">
      <c r="D713" s="12"/>
      <c r="M713" s="30"/>
    </row>
    <row r="714">
      <c r="D714" s="12"/>
      <c r="M714" s="30"/>
    </row>
    <row r="715">
      <c r="D715" s="12"/>
      <c r="M715" s="30"/>
    </row>
    <row r="716">
      <c r="D716" s="12"/>
      <c r="M716" s="30"/>
    </row>
    <row r="717">
      <c r="D717" s="12"/>
      <c r="M717" s="30"/>
    </row>
    <row r="718">
      <c r="D718" s="12"/>
      <c r="M718" s="30"/>
    </row>
    <row r="719">
      <c r="D719" s="12"/>
      <c r="M719" s="30"/>
    </row>
    <row r="720">
      <c r="D720" s="12"/>
      <c r="M720" s="30"/>
    </row>
    <row r="721">
      <c r="D721" s="12"/>
      <c r="M721" s="30"/>
    </row>
    <row r="722">
      <c r="D722" s="12"/>
      <c r="M722" s="30"/>
    </row>
    <row r="723">
      <c r="D723" s="12"/>
      <c r="M723" s="30"/>
    </row>
    <row r="724">
      <c r="D724" s="12"/>
      <c r="M724" s="30"/>
    </row>
    <row r="725">
      <c r="D725" s="12"/>
      <c r="M725" s="30"/>
    </row>
    <row r="726">
      <c r="D726" s="12"/>
      <c r="M726" s="30"/>
    </row>
    <row r="727">
      <c r="D727" s="12"/>
      <c r="M727" s="30"/>
    </row>
    <row r="728">
      <c r="D728" s="12"/>
      <c r="M728" s="30"/>
    </row>
    <row r="729">
      <c r="D729" s="12"/>
      <c r="M729" s="30"/>
    </row>
    <row r="730">
      <c r="D730" s="12"/>
      <c r="M730" s="30"/>
    </row>
    <row r="731">
      <c r="D731" s="12"/>
      <c r="M731" s="30"/>
    </row>
    <row r="732">
      <c r="D732" s="12"/>
      <c r="M732" s="30"/>
    </row>
    <row r="733">
      <c r="D733" s="12"/>
      <c r="M733" s="30"/>
    </row>
    <row r="734">
      <c r="D734" s="12"/>
      <c r="M734" s="30"/>
    </row>
    <row r="735">
      <c r="D735" s="12"/>
      <c r="M735" s="30"/>
    </row>
    <row r="736">
      <c r="D736" s="12"/>
      <c r="M736" s="30"/>
    </row>
    <row r="737">
      <c r="D737" s="12"/>
      <c r="M737" s="30"/>
    </row>
    <row r="738">
      <c r="D738" s="12"/>
      <c r="M738" s="30"/>
    </row>
    <row r="739">
      <c r="D739" s="12"/>
      <c r="M739" s="30"/>
    </row>
    <row r="740">
      <c r="D740" s="12"/>
      <c r="M740" s="30"/>
    </row>
    <row r="741">
      <c r="D741" s="12"/>
      <c r="M741" s="30"/>
    </row>
    <row r="742">
      <c r="D742" s="12"/>
      <c r="M742" s="30"/>
    </row>
    <row r="743">
      <c r="D743" s="12"/>
      <c r="M743" s="30"/>
    </row>
    <row r="744">
      <c r="D744" s="12"/>
      <c r="M744" s="30"/>
    </row>
    <row r="745">
      <c r="D745" s="12"/>
      <c r="M745" s="30"/>
    </row>
    <row r="746">
      <c r="D746" s="12"/>
      <c r="M746" s="30"/>
    </row>
    <row r="747">
      <c r="D747" s="12"/>
      <c r="M747" s="30"/>
    </row>
    <row r="748">
      <c r="D748" s="12"/>
      <c r="M748" s="30"/>
    </row>
    <row r="749">
      <c r="D749" s="12"/>
      <c r="M749" s="30"/>
    </row>
    <row r="750">
      <c r="D750" s="12"/>
      <c r="M750" s="30"/>
    </row>
    <row r="751">
      <c r="D751" s="12"/>
      <c r="M751" s="30"/>
    </row>
    <row r="752">
      <c r="D752" s="12"/>
      <c r="M752" s="30"/>
    </row>
    <row r="753">
      <c r="D753" s="12"/>
      <c r="M753" s="30"/>
    </row>
    <row r="754">
      <c r="D754" s="12"/>
      <c r="M754" s="30"/>
    </row>
    <row r="755">
      <c r="D755" s="12"/>
      <c r="M755" s="30"/>
    </row>
    <row r="756">
      <c r="D756" s="12"/>
      <c r="M756" s="30"/>
    </row>
    <row r="757">
      <c r="D757" s="12"/>
      <c r="M757" s="30"/>
    </row>
    <row r="758">
      <c r="D758" s="12"/>
      <c r="M758" s="30"/>
    </row>
    <row r="759">
      <c r="D759" s="12"/>
      <c r="M759" s="30"/>
    </row>
    <row r="760">
      <c r="D760" s="12"/>
      <c r="M760" s="30"/>
    </row>
    <row r="761">
      <c r="D761" s="12"/>
      <c r="M761" s="30"/>
    </row>
    <row r="762">
      <c r="D762" s="12"/>
      <c r="M762" s="30"/>
    </row>
    <row r="763">
      <c r="D763" s="12"/>
      <c r="M763" s="30"/>
    </row>
    <row r="764">
      <c r="D764" s="12"/>
      <c r="M764" s="30"/>
    </row>
    <row r="765">
      <c r="D765" s="12"/>
      <c r="M765" s="30"/>
    </row>
    <row r="766">
      <c r="D766" s="12"/>
      <c r="M766" s="30"/>
    </row>
    <row r="767">
      <c r="D767" s="12"/>
      <c r="M767" s="30"/>
    </row>
    <row r="768">
      <c r="D768" s="12"/>
      <c r="M768" s="30"/>
    </row>
    <row r="769">
      <c r="D769" s="12"/>
      <c r="M769" s="30"/>
    </row>
    <row r="770">
      <c r="D770" s="12"/>
      <c r="M770" s="30"/>
    </row>
    <row r="771">
      <c r="D771" s="12"/>
      <c r="M771" s="30"/>
    </row>
    <row r="772">
      <c r="D772" s="12"/>
      <c r="M772" s="30"/>
    </row>
    <row r="773">
      <c r="D773" s="12"/>
      <c r="M773" s="30"/>
    </row>
    <row r="774">
      <c r="D774" s="12"/>
      <c r="M774" s="30"/>
    </row>
    <row r="775">
      <c r="D775" s="12"/>
      <c r="M775" s="30"/>
    </row>
    <row r="776">
      <c r="D776" s="12"/>
      <c r="M776" s="30"/>
    </row>
    <row r="777">
      <c r="D777" s="12"/>
      <c r="M777" s="30"/>
    </row>
    <row r="778">
      <c r="D778" s="12"/>
      <c r="M778" s="30"/>
    </row>
    <row r="779">
      <c r="D779" s="12"/>
      <c r="M779" s="30"/>
    </row>
    <row r="780">
      <c r="D780" s="12"/>
      <c r="M780" s="30"/>
    </row>
    <row r="781">
      <c r="D781" s="12"/>
      <c r="M781" s="30"/>
    </row>
    <row r="782">
      <c r="D782" s="12"/>
      <c r="M782" s="30"/>
    </row>
    <row r="783">
      <c r="D783" s="12"/>
      <c r="M783" s="30"/>
    </row>
    <row r="784">
      <c r="D784" s="12"/>
      <c r="M784" s="30"/>
    </row>
    <row r="785">
      <c r="D785" s="12"/>
      <c r="M785" s="30"/>
    </row>
    <row r="786">
      <c r="D786" s="12"/>
      <c r="M786" s="30"/>
    </row>
    <row r="787">
      <c r="D787" s="12"/>
      <c r="M787" s="30"/>
    </row>
    <row r="788">
      <c r="D788" s="12"/>
      <c r="M788" s="30"/>
    </row>
    <row r="789">
      <c r="D789" s="12"/>
      <c r="M789" s="30"/>
    </row>
    <row r="790">
      <c r="D790" s="12"/>
      <c r="M790" s="30"/>
    </row>
    <row r="791">
      <c r="D791" s="12"/>
      <c r="M791" s="30"/>
    </row>
    <row r="792">
      <c r="D792" s="12"/>
      <c r="M792" s="30"/>
    </row>
    <row r="793">
      <c r="D793" s="12"/>
      <c r="M793" s="30"/>
    </row>
    <row r="794">
      <c r="D794" s="12"/>
      <c r="M794" s="30"/>
    </row>
    <row r="795">
      <c r="D795" s="12"/>
      <c r="M795" s="30"/>
    </row>
    <row r="796">
      <c r="D796" s="12"/>
      <c r="M796" s="30"/>
    </row>
    <row r="797">
      <c r="D797" s="12"/>
      <c r="M797" s="30"/>
    </row>
    <row r="798">
      <c r="D798" s="12"/>
      <c r="M798" s="30"/>
    </row>
    <row r="799">
      <c r="D799" s="12"/>
      <c r="M799" s="30"/>
    </row>
    <row r="800">
      <c r="D800" s="12"/>
      <c r="M800" s="30"/>
    </row>
    <row r="801">
      <c r="D801" s="12"/>
      <c r="M801" s="30"/>
    </row>
    <row r="802">
      <c r="D802" s="12"/>
      <c r="M802" s="30"/>
    </row>
    <row r="803">
      <c r="D803" s="12"/>
      <c r="M803" s="30"/>
    </row>
    <row r="804">
      <c r="D804" s="12"/>
      <c r="M804" s="30"/>
    </row>
    <row r="805">
      <c r="D805" s="12"/>
      <c r="M805" s="30"/>
    </row>
    <row r="806">
      <c r="D806" s="12"/>
      <c r="M806" s="30"/>
    </row>
    <row r="807">
      <c r="D807" s="12"/>
      <c r="M807" s="30"/>
    </row>
    <row r="808">
      <c r="D808" s="12"/>
      <c r="M808" s="30"/>
    </row>
    <row r="809">
      <c r="D809" s="12"/>
      <c r="M809" s="30"/>
    </row>
    <row r="810">
      <c r="D810" s="12"/>
      <c r="M810" s="30"/>
    </row>
    <row r="811">
      <c r="D811" s="12"/>
      <c r="M811" s="30"/>
    </row>
    <row r="812">
      <c r="D812" s="12"/>
      <c r="M812" s="30"/>
    </row>
    <row r="813">
      <c r="D813" s="12"/>
      <c r="M813" s="30"/>
    </row>
    <row r="814">
      <c r="D814" s="12"/>
      <c r="M814" s="30"/>
    </row>
    <row r="815">
      <c r="D815" s="12"/>
      <c r="M815" s="30"/>
    </row>
    <row r="816">
      <c r="D816" s="12"/>
      <c r="M816" s="30"/>
    </row>
    <row r="817">
      <c r="D817" s="12"/>
      <c r="M817" s="30"/>
    </row>
    <row r="818">
      <c r="D818" s="12"/>
      <c r="M818" s="30"/>
    </row>
    <row r="819">
      <c r="D819" s="12"/>
      <c r="M819" s="30"/>
    </row>
    <row r="820">
      <c r="D820" s="12"/>
      <c r="M820" s="30"/>
    </row>
    <row r="821">
      <c r="D821" s="12"/>
      <c r="M821" s="30"/>
    </row>
    <row r="822">
      <c r="D822" s="12"/>
      <c r="M822" s="30"/>
    </row>
    <row r="823">
      <c r="D823" s="12"/>
      <c r="M823" s="30"/>
    </row>
    <row r="824">
      <c r="D824" s="12"/>
      <c r="M824" s="30"/>
    </row>
    <row r="825">
      <c r="D825" s="12"/>
      <c r="M825" s="30"/>
    </row>
    <row r="826">
      <c r="D826" s="12"/>
      <c r="M826" s="30"/>
    </row>
    <row r="827">
      <c r="D827" s="12"/>
      <c r="M827" s="30"/>
    </row>
    <row r="828">
      <c r="D828" s="12"/>
      <c r="M828" s="30"/>
    </row>
    <row r="829">
      <c r="D829" s="12"/>
      <c r="M829" s="30"/>
    </row>
    <row r="830">
      <c r="D830" s="12"/>
      <c r="M830" s="30"/>
    </row>
    <row r="831">
      <c r="D831" s="12"/>
      <c r="M831" s="30"/>
    </row>
    <row r="832">
      <c r="D832" s="12"/>
      <c r="M832" s="30"/>
    </row>
    <row r="833">
      <c r="D833" s="12"/>
      <c r="M833" s="30"/>
    </row>
    <row r="834">
      <c r="D834" s="12"/>
      <c r="M834" s="30"/>
    </row>
    <row r="835">
      <c r="D835" s="12"/>
      <c r="M835" s="30"/>
    </row>
    <row r="836">
      <c r="D836" s="12"/>
      <c r="M836" s="30"/>
    </row>
    <row r="837">
      <c r="D837" s="12"/>
      <c r="M837" s="30"/>
    </row>
    <row r="838">
      <c r="D838" s="12"/>
      <c r="M838" s="30"/>
    </row>
    <row r="839">
      <c r="D839" s="12"/>
      <c r="M839" s="30"/>
    </row>
    <row r="840">
      <c r="D840" s="12"/>
      <c r="M840" s="30"/>
    </row>
    <row r="841">
      <c r="D841" s="12"/>
      <c r="M841" s="30"/>
    </row>
    <row r="842">
      <c r="D842" s="12"/>
      <c r="M842" s="30"/>
    </row>
    <row r="843">
      <c r="D843" s="12"/>
      <c r="M843" s="30"/>
    </row>
    <row r="844">
      <c r="D844" s="12"/>
      <c r="M844" s="30"/>
    </row>
    <row r="845">
      <c r="D845" s="12"/>
      <c r="M845" s="30"/>
    </row>
    <row r="846">
      <c r="D846" s="12"/>
      <c r="M846" s="30"/>
    </row>
    <row r="847">
      <c r="D847" s="12"/>
      <c r="M847" s="30"/>
    </row>
    <row r="848">
      <c r="D848" s="12"/>
      <c r="M848" s="30"/>
    </row>
    <row r="849">
      <c r="D849" s="12"/>
      <c r="M849" s="30"/>
    </row>
    <row r="850">
      <c r="D850" s="12"/>
      <c r="M850" s="30"/>
    </row>
    <row r="851">
      <c r="D851" s="12"/>
      <c r="M851" s="30"/>
    </row>
    <row r="852">
      <c r="D852" s="12"/>
      <c r="M852" s="30"/>
    </row>
    <row r="853">
      <c r="D853" s="12"/>
      <c r="M853" s="30"/>
    </row>
    <row r="854">
      <c r="D854" s="12"/>
      <c r="M854" s="30"/>
    </row>
    <row r="855">
      <c r="D855" s="12"/>
      <c r="M855" s="30"/>
    </row>
    <row r="856">
      <c r="D856" s="12"/>
      <c r="M856" s="30"/>
    </row>
    <row r="857">
      <c r="D857" s="12"/>
      <c r="M857" s="30"/>
    </row>
    <row r="858">
      <c r="D858" s="12"/>
      <c r="M858" s="30"/>
    </row>
    <row r="859">
      <c r="D859" s="12"/>
      <c r="M859" s="30"/>
    </row>
    <row r="860">
      <c r="D860" s="12"/>
      <c r="M860" s="30"/>
    </row>
    <row r="861">
      <c r="D861" s="12"/>
      <c r="M861" s="30"/>
    </row>
    <row r="862">
      <c r="D862" s="12"/>
      <c r="M862" s="30"/>
    </row>
    <row r="863">
      <c r="D863" s="12"/>
      <c r="M863" s="30"/>
    </row>
    <row r="864">
      <c r="D864" s="12"/>
      <c r="M864" s="30"/>
    </row>
    <row r="865">
      <c r="D865" s="12"/>
      <c r="M865" s="30"/>
    </row>
    <row r="866">
      <c r="D866" s="12"/>
      <c r="M866" s="30"/>
    </row>
    <row r="867">
      <c r="D867" s="12"/>
      <c r="M867" s="30"/>
    </row>
    <row r="868">
      <c r="D868" s="12"/>
      <c r="M868" s="30"/>
    </row>
    <row r="869">
      <c r="D869" s="12"/>
      <c r="M869" s="30"/>
    </row>
    <row r="870">
      <c r="D870" s="12"/>
      <c r="M870" s="30"/>
    </row>
    <row r="871">
      <c r="D871" s="12"/>
      <c r="M871" s="30"/>
    </row>
    <row r="872">
      <c r="D872" s="12"/>
      <c r="M872" s="30"/>
    </row>
    <row r="873">
      <c r="D873" s="12"/>
      <c r="M873" s="30"/>
    </row>
    <row r="874">
      <c r="D874" s="12"/>
      <c r="M874" s="30"/>
    </row>
    <row r="875">
      <c r="D875" s="12"/>
      <c r="M875" s="30"/>
    </row>
    <row r="876">
      <c r="D876" s="12"/>
      <c r="M876" s="30"/>
    </row>
    <row r="877">
      <c r="D877" s="12"/>
      <c r="M877" s="30"/>
    </row>
    <row r="878">
      <c r="D878" s="12"/>
      <c r="M878" s="30"/>
    </row>
    <row r="879">
      <c r="D879" s="12"/>
      <c r="M879" s="30"/>
    </row>
    <row r="880">
      <c r="D880" s="12"/>
      <c r="M880" s="30"/>
    </row>
    <row r="881">
      <c r="D881" s="12"/>
      <c r="M881" s="30"/>
    </row>
    <row r="882">
      <c r="D882" s="12"/>
      <c r="M882" s="30"/>
    </row>
    <row r="883">
      <c r="D883" s="12"/>
      <c r="M883" s="30"/>
    </row>
    <row r="884">
      <c r="D884" s="12"/>
      <c r="M884" s="30"/>
    </row>
    <row r="885">
      <c r="D885" s="12"/>
      <c r="M885" s="30"/>
    </row>
    <row r="886">
      <c r="D886" s="12"/>
      <c r="M886" s="30"/>
    </row>
    <row r="887">
      <c r="D887" s="12"/>
      <c r="M887" s="30"/>
    </row>
    <row r="888">
      <c r="D888" s="12"/>
      <c r="M888" s="30"/>
    </row>
    <row r="889">
      <c r="D889" s="12"/>
      <c r="M889" s="30"/>
    </row>
    <row r="890">
      <c r="D890" s="12"/>
      <c r="M890" s="30"/>
    </row>
    <row r="891">
      <c r="D891" s="12"/>
      <c r="M891" s="30"/>
    </row>
    <row r="892">
      <c r="D892" s="12"/>
      <c r="M892" s="30"/>
    </row>
    <row r="893">
      <c r="D893" s="12"/>
      <c r="M893" s="30"/>
    </row>
    <row r="894">
      <c r="D894" s="12"/>
      <c r="M894" s="30"/>
    </row>
    <row r="895">
      <c r="D895" s="12"/>
      <c r="M895" s="30"/>
    </row>
    <row r="896">
      <c r="D896" s="12"/>
      <c r="M896" s="30"/>
    </row>
    <row r="897">
      <c r="D897" s="12"/>
      <c r="M897" s="30"/>
    </row>
    <row r="898">
      <c r="D898" s="12"/>
      <c r="M898" s="30"/>
    </row>
    <row r="899">
      <c r="D899" s="12"/>
      <c r="M899" s="30"/>
    </row>
    <row r="900">
      <c r="D900" s="12"/>
      <c r="M900" s="30"/>
    </row>
    <row r="901">
      <c r="D901" s="12"/>
      <c r="M901" s="30"/>
    </row>
    <row r="902">
      <c r="D902" s="12"/>
      <c r="M902" s="30"/>
    </row>
    <row r="903">
      <c r="D903" s="12"/>
      <c r="M903" s="30"/>
    </row>
    <row r="904">
      <c r="D904" s="12"/>
      <c r="M904" s="30"/>
    </row>
    <row r="905">
      <c r="D905" s="12"/>
      <c r="M905" s="30"/>
    </row>
    <row r="906">
      <c r="D906" s="12"/>
      <c r="M906" s="30"/>
    </row>
    <row r="907">
      <c r="D907" s="12"/>
      <c r="M907" s="30"/>
    </row>
    <row r="908">
      <c r="D908" s="12"/>
      <c r="M908" s="30"/>
    </row>
    <row r="909">
      <c r="D909" s="12"/>
      <c r="M909" s="30"/>
    </row>
    <row r="910">
      <c r="D910" s="12"/>
      <c r="M910" s="30"/>
    </row>
    <row r="911">
      <c r="D911" s="12"/>
      <c r="M911" s="30"/>
    </row>
    <row r="912">
      <c r="D912" s="12"/>
      <c r="M912" s="30"/>
    </row>
    <row r="913">
      <c r="D913" s="12"/>
      <c r="M913" s="30"/>
    </row>
    <row r="914">
      <c r="D914" s="12"/>
      <c r="M914" s="30"/>
    </row>
    <row r="915">
      <c r="D915" s="12"/>
      <c r="M915" s="30"/>
    </row>
    <row r="916">
      <c r="D916" s="12"/>
      <c r="M916" s="30"/>
    </row>
    <row r="917">
      <c r="D917" s="12"/>
      <c r="M917" s="30"/>
    </row>
    <row r="918">
      <c r="D918" s="12"/>
      <c r="M918" s="30"/>
    </row>
    <row r="919">
      <c r="D919" s="12"/>
      <c r="M919" s="30"/>
    </row>
    <row r="920">
      <c r="D920" s="12"/>
      <c r="M920" s="30"/>
    </row>
    <row r="921">
      <c r="D921" s="12"/>
      <c r="M921" s="30"/>
    </row>
    <row r="922">
      <c r="D922" s="12"/>
      <c r="M922" s="30"/>
    </row>
    <row r="923">
      <c r="D923" s="12"/>
      <c r="M923" s="30"/>
    </row>
    <row r="924">
      <c r="D924" s="12"/>
      <c r="M924" s="30"/>
    </row>
    <row r="925">
      <c r="D925" s="12"/>
      <c r="M925" s="30"/>
    </row>
    <row r="926">
      <c r="D926" s="12"/>
      <c r="M926" s="30"/>
    </row>
    <row r="927">
      <c r="D927" s="12"/>
      <c r="M927" s="30"/>
    </row>
    <row r="928">
      <c r="D928" s="12"/>
      <c r="M928" s="30"/>
    </row>
    <row r="929">
      <c r="D929" s="12"/>
      <c r="M929" s="30"/>
    </row>
    <row r="930">
      <c r="D930" s="12"/>
      <c r="M930" s="30"/>
    </row>
    <row r="931">
      <c r="D931" s="12"/>
      <c r="M931" s="30"/>
    </row>
    <row r="932">
      <c r="D932" s="12"/>
      <c r="M932" s="30"/>
    </row>
    <row r="933">
      <c r="D933" s="12"/>
      <c r="M933" s="30"/>
    </row>
    <row r="934">
      <c r="D934" s="12"/>
      <c r="M934" s="30"/>
    </row>
    <row r="935">
      <c r="D935" s="12"/>
      <c r="M935" s="30"/>
    </row>
    <row r="936">
      <c r="D936" s="12"/>
      <c r="M936" s="30"/>
    </row>
    <row r="937">
      <c r="D937" s="12"/>
      <c r="M937" s="30"/>
    </row>
    <row r="938">
      <c r="D938" s="12"/>
      <c r="M938" s="30"/>
    </row>
    <row r="939">
      <c r="D939" s="12"/>
      <c r="M939" s="30"/>
    </row>
    <row r="940">
      <c r="D940" s="12"/>
      <c r="M940" s="30"/>
    </row>
    <row r="941">
      <c r="D941" s="12"/>
      <c r="M941" s="30"/>
    </row>
    <row r="942">
      <c r="D942" s="12"/>
      <c r="M942" s="30"/>
    </row>
    <row r="943">
      <c r="D943" s="12"/>
      <c r="M943" s="30"/>
    </row>
    <row r="944">
      <c r="D944" s="12"/>
      <c r="M944" s="30"/>
    </row>
    <row r="945">
      <c r="D945" s="12"/>
      <c r="M945" s="30"/>
    </row>
    <row r="946">
      <c r="D946" s="12"/>
      <c r="M946" s="30"/>
    </row>
    <row r="947">
      <c r="D947" s="12"/>
      <c r="M947" s="30"/>
    </row>
    <row r="948">
      <c r="D948" s="12"/>
      <c r="M948" s="30"/>
    </row>
    <row r="949">
      <c r="D949" s="12"/>
      <c r="M949" s="30"/>
    </row>
    <row r="950">
      <c r="D950" s="12"/>
      <c r="M950" s="30"/>
    </row>
    <row r="951">
      <c r="D951" s="12"/>
      <c r="M951" s="30"/>
    </row>
    <row r="952">
      <c r="D952" s="12"/>
      <c r="M952" s="30"/>
    </row>
    <row r="953">
      <c r="D953" s="12"/>
      <c r="M953" s="30"/>
    </row>
    <row r="954">
      <c r="D954" s="12"/>
      <c r="M954" s="30"/>
    </row>
    <row r="955">
      <c r="D955" s="12"/>
      <c r="M955" s="30"/>
    </row>
    <row r="956">
      <c r="D956" s="12"/>
      <c r="M956" s="30"/>
    </row>
    <row r="957">
      <c r="D957" s="12"/>
      <c r="M957" s="30"/>
    </row>
    <row r="958">
      <c r="D958" s="12"/>
      <c r="M958" s="30"/>
    </row>
    <row r="959">
      <c r="D959" s="12"/>
      <c r="M959" s="30"/>
    </row>
    <row r="960">
      <c r="D960" s="12"/>
      <c r="M960" s="30"/>
    </row>
    <row r="961">
      <c r="D961" s="12"/>
      <c r="M961" s="30"/>
    </row>
    <row r="962">
      <c r="D962" s="12"/>
      <c r="M962" s="30"/>
    </row>
    <row r="963">
      <c r="D963" s="12"/>
      <c r="M963" s="30"/>
    </row>
    <row r="964">
      <c r="D964" s="12"/>
      <c r="M964" s="30"/>
    </row>
    <row r="965">
      <c r="D965" s="12"/>
      <c r="M965" s="30"/>
    </row>
    <row r="966">
      <c r="D966" s="12"/>
      <c r="M966" s="30"/>
    </row>
    <row r="967">
      <c r="D967" s="12"/>
      <c r="M967" s="30"/>
    </row>
    <row r="968">
      <c r="D968" s="12"/>
      <c r="M968" s="30"/>
    </row>
    <row r="969">
      <c r="D969" s="12"/>
      <c r="M969" s="30"/>
    </row>
    <row r="970">
      <c r="D970" s="12"/>
      <c r="M970" s="30"/>
    </row>
    <row r="971">
      <c r="D971" s="12"/>
      <c r="M971" s="30"/>
    </row>
    <row r="972">
      <c r="D972" s="12"/>
      <c r="M972" s="30"/>
    </row>
    <row r="973">
      <c r="D973" s="12"/>
      <c r="M973" s="30"/>
    </row>
    <row r="974">
      <c r="D974" s="12"/>
      <c r="M974" s="30"/>
    </row>
    <row r="975">
      <c r="D975" s="12"/>
      <c r="M975" s="30"/>
    </row>
    <row r="976">
      <c r="D976" s="12"/>
      <c r="M976" s="30"/>
    </row>
    <row r="977">
      <c r="D977" s="12"/>
      <c r="M977" s="30"/>
    </row>
    <row r="978">
      <c r="D978" s="12"/>
      <c r="M978" s="30"/>
    </row>
    <row r="979">
      <c r="D979" s="12"/>
      <c r="M979" s="30"/>
    </row>
    <row r="980">
      <c r="D980" s="12"/>
      <c r="M980" s="30"/>
    </row>
    <row r="981">
      <c r="D981" s="12"/>
      <c r="M981" s="30"/>
    </row>
    <row r="982">
      <c r="D982" s="12"/>
      <c r="M982" s="30"/>
    </row>
    <row r="983">
      <c r="D983" s="12"/>
      <c r="M983" s="30"/>
    </row>
    <row r="984">
      <c r="D984" s="12"/>
      <c r="M984" s="30"/>
    </row>
    <row r="985">
      <c r="D985" s="12"/>
      <c r="M985" s="30"/>
    </row>
    <row r="986">
      <c r="D986" s="12"/>
      <c r="M986" s="30"/>
    </row>
    <row r="987">
      <c r="D987" s="12"/>
      <c r="M987" s="30"/>
    </row>
    <row r="988">
      <c r="D988" s="12"/>
      <c r="M988" s="30"/>
    </row>
    <row r="989">
      <c r="D989" s="12"/>
      <c r="M989" s="30"/>
    </row>
    <row r="990">
      <c r="D990" s="12"/>
      <c r="M990" s="30"/>
    </row>
    <row r="991">
      <c r="D991" s="12"/>
      <c r="M991" s="30"/>
    </row>
    <row r="992">
      <c r="D992" s="12"/>
      <c r="M992" s="30"/>
    </row>
    <row r="993">
      <c r="D993" s="12"/>
      <c r="M993" s="30"/>
    </row>
    <row r="994">
      <c r="D994" s="12"/>
      <c r="M994" s="30"/>
    </row>
    <row r="995">
      <c r="D995" s="12"/>
      <c r="M995" s="30"/>
    </row>
    <row r="996">
      <c r="D996" s="12"/>
      <c r="M996" s="30"/>
    </row>
    <row r="997">
      <c r="D997" s="12"/>
      <c r="M997" s="30"/>
    </row>
    <row r="998">
      <c r="D998" s="12"/>
      <c r="M998" s="30"/>
    </row>
    <row r="999">
      <c r="D999" s="12"/>
      <c r="M999" s="30"/>
    </row>
  </sheetData>
  <dataValidations>
    <dataValidation type="list" allowBlank="1" showErrorMessage="1" sqref="V2:V68 V71:V131">
      <formula1>"Alfonso ,Nico,Patxi ,Martin"</formula1>
    </dataValidation>
    <dataValidation type="list" allowBlank="1" showErrorMessage="1" sqref="X15">
      <formula1>"1,2,3"</formula1>
    </dataValidation>
    <dataValidation type="list" allowBlank="1" showErrorMessage="1" sqref="T144:T147 S149:S150">
      <formula1>"Venta Privada,Directa a Punto de Venta,Distribuidor,Venta Online"</formula1>
    </dataValidation>
    <dataValidation type="list" allowBlank="1" showErrorMessage="1" sqref="U2:U6 U27:U31 U33:U68 U71:U131">
      <formula1>"Menorca,Mallorca,Ibiza,Madrid,Girona,Barcelona,Zaragoza,Anadalucía"</formula1>
    </dataValidation>
    <dataValidation type="list" allowBlank="1" showErrorMessage="1" sqref="T2:T31 S32:T32 T33:T37 S38:T38 T39:T51 S52:T52 T53 S54:T54 T55:T60 S61:T63 T64:T68 T71:T79 S80:T89 T90:T93 S94:T94 T95:T99 S100:T101 T102 S103:T117 T118:T131">
      <formula1>"LEAD,CONTACTED ,SCHEDULE APPOINTMENT,INTERESTED,SEND INFO ,FOLLOW UP ,NEGOTATION,CLOSED / WON ,CLOSED / LOST ,CONTACT NEXT SEASON "</formula1>
    </dataValidation>
    <dataValidation type="list" allowBlank="1" showErrorMessage="1" sqref="U7:U26 U32">
      <formula1>"Menorca,Mallorca,Ibiza,Madrid,Girona,Barcelona"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2.29"/>
  </cols>
  <sheetData>
    <row r="1">
      <c r="A1" s="8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610</v>
      </c>
      <c r="J1" s="34"/>
      <c r="K1" s="34"/>
      <c r="L1" s="34"/>
      <c r="M1" s="34"/>
      <c r="N1" s="34"/>
      <c r="O1" s="34"/>
      <c r="P1" s="34"/>
      <c r="Q1" s="34"/>
      <c r="R1" s="34"/>
      <c r="S1" s="34"/>
    </row>
    <row r="2">
      <c r="A2" s="1" t="s">
        <v>195</v>
      </c>
      <c r="B2" s="12" t="s">
        <v>142</v>
      </c>
      <c r="C2" s="1" t="s">
        <v>611</v>
      </c>
      <c r="D2" s="1" t="s">
        <v>611</v>
      </c>
      <c r="E2" s="1" t="s">
        <v>196</v>
      </c>
      <c r="F2" s="1" t="s">
        <v>566</v>
      </c>
      <c r="G2" s="1" t="s">
        <v>197</v>
      </c>
      <c r="H2" s="12" t="s">
        <v>589</v>
      </c>
      <c r="I2" s="13"/>
      <c r="J2" s="35"/>
      <c r="K2" s="34"/>
      <c r="L2" s="34"/>
      <c r="M2" s="35"/>
      <c r="N2" s="35"/>
      <c r="O2" s="35"/>
      <c r="P2" s="35"/>
      <c r="Q2" s="35"/>
      <c r="R2" s="35"/>
      <c r="S2" s="34"/>
    </row>
    <row r="3">
      <c r="A3" s="1" t="s">
        <v>203</v>
      </c>
      <c r="B3" s="12" t="s">
        <v>204</v>
      </c>
      <c r="C3" s="1" t="s">
        <v>598</v>
      </c>
      <c r="D3" s="1" t="s">
        <v>598</v>
      </c>
      <c r="E3" s="1" t="s">
        <v>196</v>
      </c>
      <c r="F3" s="1" t="s">
        <v>566</v>
      </c>
      <c r="G3" s="1" t="s">
        <v>197</v>
      </c>
      <c r="H3" s="12" t="s">
        <v>589</v>
      </c>
      <c r="I3" s="15"/>
      <c r="J3" s="35"/>
      <c r="K3" s="34"/>
      <c r="L3" s="34"/>
      <c r="M3" s="35"/>
      <c r="N3" s="35"/>
      <c r="O3" s="35"/>
      <c r="P3" s="35"/>
      <c r="Q3" s="35"/>
      <c r="R3" s="35"/>
      <c r="S3" s="34"/>
    </row>
    <row r="4">
      <c r="A4" s="1" t="s">
        <v>209</v>
      </c>
      <c r="B4" s="12" t="s">
        <v>210</v>
      </c>
      <c r="C4" s="1" t="s">
        <v>598</v>
      </c>
      <c r="D4" s="1" t="s">
        <v>598</v>
      </c>
      <c r="E4" s="1" t="s">
        <v>196</v>
      </c>
      <c r="F4" s="1" t="s">
        <v>566</v>
      </c>
      <c r="G4" s="1" t="s">
        <v>197</v>
      </c>
      <c r="H4" s="12" t="s">
        <v>589</v>
      </c>
      <c r="I4" s="15"/>
      <c r="J4" s="35"/>
      <c r="K4" s="34"/>
      <c r="L4" s="34"/>
      <c r="M4" s="35"/>
      <c r="N4" s="35"/>
      <c r="O4" s="35"/>
      <c r="P4" s="35"/>
      <c r="Q4" s="35"/>
      <c r="R4" s="35"/>
      <c r="S4" s="34"/>
    </row>
    <row r="5">
      <c r="A5" s="1" t="s">
        <v>212</v>
      </c>
      <c r="B5" s="12" t="s">
        <v>213</v>
      </c>
      <c r="C5" s="1" t="s">
        <v>598</v>
      </c>
      <c r="D5" s="1" t="s">
        <v>598</v>
      </c>
      <c r="E5" s="1" t="s">
        <v>196</v>
      </c>
      <c r="F5" s="1" t="s">
        <v>566</v>
      </c>
      <c r="G5" s="1" t="s">
        <v>197</v>
      </c>
      <c r="H5" s="12" t="s">
        <v>591</v>
      </c>
      <c r="I5" s="15"/>
      <c r="J5" s="35"/>
      <c r="K5" s="34"/>
      <c r="L5" s="34"/>
      <c r="M5" s="35"/>
      <c r="N5" s="35"/>
      <c r="O5" s="35"/>
      <c r="P5" s="35"/>
      <c r="Q5" s="35"/>
      <c r="R5" s="35"/>
      <c r="S5" s="34"/>
    </row>
    <row r="6">
      <c r="A6" s="1" t="s">
        <v>216</v>
      </c>
      <c r="B6" s="12" t="s">
        <v>217</v>
      </c>
      <c r="C6" s="1" t="s">
        <v>598</v>
      </c>
      <c r="D6" s="1" t="s">
        <v>598</v>
      </c>
      <c r="E6" s="1" t="s">
        <v>196</v>
      </c>
      <c r="F6" s="1" t="s">
        <v>566</v>
      </c>
      <c r="G6" s="1" t="s">
        <v>197</v>
      </c>
      <c r="H6" s="12" t="s">
        <v>589</v>
      </c>
      <c r="I6" s="15"/>
      <c r="J6" s="35"/>
      <c r="K6" s="34"/>
      <c r="L6" s="34"/>
      <c r="M6" s="35"/>
      <c r="N6" s="35"/>
      <c r="O6" s="35"/>
      <c r="P6" s="35"/>
      <c r="Q6" s="35"/>
      <c r="R6" s="35"/>
      <c r="S6" s="34"/>
    </row>
    <row r="7">
      <c r="A7" s="1" t="s">
        <v>219</v>
      </c>
      <c r="B7" s="12" t="s">
        <v>220</v>
      </c>
      <c r="C7" s="1" t="s">
        <v>612</v>
      </c>
      <c r="D7" s="1" t="s">
        <v>612</v>
      </c>
      <c r="E7" s="1" t="s">
        <v>196</v>
      </c>
      <c r="F7" s="1" t="s">
        <v>566</v>
      </c>
      <c r="G7" s="1" t="s">
        <v>197</v>
      </c>
      <c r="H7" s="12" t="s">
        <v>594</v>
      </c>
      <c r="I7" s="15"/>
      <c r="J7" s="35"/>
      <c r="K7" s="34"/>
      <c r="L7" s="34"/>
      <c r="M7" s="35"/>
      <c r="N7" s="35"/>
      <c r="O7" s="35"/>
      <c r="P7" s="35"/>
      <c r="Q7" s="35"/>
      <c r="R7" s="35"/>
      <c r="S7" s="34"/>
    </row>
    <row r="8">
      <c r="A8" s="1" t="s">
        <v>223</v>
      </c>
      <c r="B8" s="12" t="s">
        <v>224</v>
      </c>
      <c r="C8" s="1" t="s">
        <v>612</v>
      </c>
      <c r="D8" s="1" t="s">
        <v>612</v>
      </c>
      <c r="E8" s="1" t="s">
        <v>196</v>
      </c>
      <c r="F8" s="1" t="s">
        <v>566</v>
      </c>
      <c r="G8" s="1" t="s">
        <v>197</v>
      </c>
      <c r="H8" s="12" t="s">
        <v>594</v>
      </c>
      <c r="I8" s="13"/>
      <c r="J8" s="35"/>
      <c r="K8" s="34"/>
      <c r="L8" s="34"/>
      <c r="M8" s="35"/>
      <c r="N8" s="35"/>
      <c r="O8" s="35"/>
      <c r="P8" s="35"/>
      <c r="Q8" s="35"/>
      <c r="R8" s="35"/>
      <c r="S8" s="34"/>
    </row>
    <row r="9">
      <c r="A9" s="1" t="s">
        <v>226</v>
      </c>
      <c r="B9" s="12" t="s">
        <v>227</v>
      </c>
      <c r="C9" s="1" t="s">
        <v>612</v>
      </c>
      <c r="D9" s="12" t="s">
        <v>612</v>
      </c>
      <c r="E9" s="1" t="s">
        <v>196</v>
      </c>
      <c r="F9" s="1" t="s">
        <v>566</v>
      </c>
      <c r="G9" s="1" t="s">
        <v>197</v>
      </c>
      <c r="H9" s="12" t="s">
        <v>594</v>
      </c>
      <c r="I9" s="13"/>
      <c r="J9" s="35"/>
      <c r="K9" s="34"/>
      <c r="L9" s="34"/>
      <c r="M9" s="35"/>
      <c r="N9" s="35"/>
      <c r="O9" s="35"/>
      <c r="P9" s="35"/>
      <c r="Q9" s="35"/>
      <c r="R9" s="35"/>
      <c r="S9" s="34"/>
    </row>
    <row r="10">
      <c r="A10" s="1" t="s">
        <v>228</v>
      </c>
      <c r="B10" s="12" t="s">
        <v>229</v>
      </c>
      <c r="C10" s="1" t="s">
        <v>612</v>
      </c>
      <c r="D10" s="12" t="s">
        <v>612</v>
      </c>
      <c r="E10" s="1" t="s">
        <v>196</v>
      </c>
      <c r="F10" s="1" t="s">
        <v>566</v>
      </c>
      <c r="G10" s="1" t="s">
        <v>197</v>
      </c>
      <c r="H10" s="12" t="s">
        <v>594</v>
      </c>
      <c r="I10" s="13"/>
      <c r="J10" s="35"/>
      <c r="K10" s="34"/>
      <c r="L10" s="34"/>
      <c r="M10" s="35"/>
      <c r="N10" s="35"/>
      <c r="O10" s="35"/>
      <c r="P10" s="35"/>
      <c r="Q10" s="35"/>
      <c r="R10" s="35"/>
      <c r="S10" s="34"/>
    </row>
    <row r="11">
      <c r="A11" s="1" t="s">
        <v>233</v>
      </c>
      <c r="B11" s="12" t="s">
        <v>234</v>
      </c>
      <c r="C11" s="1" t="s">
        <v>612</v>
      </c>
      <c r="D11" s="12" t="s">
        <v>612</v>
      </c>
      <c r="E11" s="1" t="s">
        <v>196</v>
      </c>
      <c r="F11" s="1" t="s">
        <v>566</v>
      </c>
      <c r="G11" s="1" t="s">
        <v>197</v>
      </c>
      <c r="H11" s="12" t="s">
        <v>594</v>
      </c>
      <c r="I11" s="13"/>
      <c r="J11" s="35"/>
      <c r="K11" s="34"/>
      <c r="L11" s="34"/>
      <c r="M11" s="35"/>
      <c r="N11" s="35"/>
      <c r="O11" s="35"/>
      <c r="P11" s="35"/>
      <c r="Q11" s="35"/>
      <c r="R11" s="35"/>
      <c r="S11" s="34"/>
    </row>
    <row r="12">
      <c r="A12" s="1" t="s">
        <v>236</v>
      </c>
      <c r="B12" s="12" t="s">
        <v>237</v>
      </c>
      <c r="C12" s="1" t="s">
        <v>612</v>
      </c>
      <c r="D12" s="12" t="s">
        <v>612</v>
      </c>
      <c r="E12" s="1" t="s">
        <v>196</v>
      </c>
      <c r="F12" s="1" t="s">
        <v>566</v>
      </c>
      <c r="G12" s="1" t="s">
        <v>197</v>
      </c>
      <c r="H12" s="12" t="s">
        <v>594</v>
      </c>
      <c r="I12" s="13"/>
      <c r="J12" s="35"/>
      <c r="K12" s="34"/>
      <c r="L12" s="34"/>
      <c r="M12" s="35"/>
      <c r="N12" s="35"/>
      <c r="O12" s="35"/>
      <c r="P12" s="35"/>
      <c r="Q12" s="35"/>
      <c r="R12" s="35"/>
      <c r="S12" s="34"/>
    </row>
    <row r="13">
      <c r="A13" s="1" t="s">
        <v>238</v>
      </c>
      <c r="B13" s="12" t="s">
        <v>239</v>
      </c>
      <c r="C13" s="1" t="s">
        <v>612</v>
      </c>
      <c r="D13" s="12" t="s">
        <v>612</v>
      </c>
      <c r="E13" s="1" t="s">
        <v>196</v>
      </c>
      <c r="F13" s="1" t="s">
        <v>566</v>
      </c>
      <c r="G13" s="1" t="s">
        <v>197</v>
      </c>
      <c r="H13" s="12" t="s">
        <v>594</v>
      </c>
      <c r="I13" s="13"/>
      <c r="J13" s="35"/>
      <c r="K13" s="34"/>
      <c r="L13" s="34"/>
      <c r="M13" s="35"/>
      <c r="N13" s="35"/>
      <c r="O13" s="35"/>
      <c r="P13" s="35"/>
      <c r="Q13" s="35"/>
      <c r="R13" s="35"/>
      <c r="S13" s="34"/>
    </row>
    <row r="14">
      <c r="A14" s="1" t="s">
        <v>240</v>
      </c>
      <c r="B14" s="12" t="s">
        <v>241</v>
      </c>
      <c r="C14" s="1" t="s">
        <v>612</v>
      </c>
      <c r="D14" s="12" t="s">
        <v>612</v>
      </c>
      <c r="E14" s="1" t="s">
        <v>196</v>
      </c>
      <c r="F14" s="1" t="s">
        <v>566</v>
      </c>
      <c r="G14" s="1" t="s">
        <v>197</v>
      </c>
      <c r="H14" s="12" t="s">
        <v>594</v>
      </c>
      <c r="I14" s="13"/>
      <c r="J14" s="35"/>
      <c r="K14" s="34"/>
      <c r="L14" s="34"/>
      <c r="M14" s="35"/>
      <c r="N14" s="35"/>
      <c r="O14" s="35"/>
      <c r="P14" s="35"/>
      <c r="Q14" s="35"/>
      <c r="R14" s="35"/>
      <c r="S14" s="34"/>
    </row>
    <row r="15">
      <c r="A15" s="1" t="s">
        <v>242</v>
      </c>
      <c r="B15" s="12" t="s">
        <v>243</v>
      </c>
      <c r="C15" s="1" t="s">
        <v>612</v>
      </c>
      <c r="D15" s="12" t="s">
        <v>612</v>
      </c>
      <c r="E15" s="1" t="s">
        <v>196</v>
      </c>
      <c r="F15" s="1" t="s">
        <v>566</v>
      </c>
      <c r="G15" s="1" t="s">
        <v>197</v>
      </c>
      <c r="H15" s="12" t="s">
        <v>594</v>
      </c>
      <c r="I15" s="13"/>
      <c r="J15" s="35"/>
      <c r="K15" s="34"/>
      <c r="L15" s="34"/>
      <c r="M15" s="35"/>
      <c r="N15" s="35"/>
      <c r="O15" s="35"/>
      <c r="P15" s="35"/>
      <c r="Q15" s="35"/>
      <c r="R15" s="35"/>
      <c r="S15" s="34"/>
    </row>
    <row r="16">
      <c r="A16" s="1" t="s">
        <v>245</v>
      </c>
      <c r="B16" s="12" t="s">
        <v>246</v>
      </c>
      <c r="C16" s="1" t="s">
        <v>598</v>
      </c>
      <c r="D16" s="12" t="s">
        <v>598</v>
      </c>
      <c r="E16" s="1" t="s">
        <v>196</v>
      </c>
      <c r="F16" s="1" t="s">
        <v>566</v>
      </c>
      <c r="G16" s="1" t="s">
        <v>197</v>
      </c>
      <c r="H16" s="12" t="s">
        <v>589</v>
      </c>
      <c r="I16" s="13"/>
      <c r="J16" s="35"/>
      <c r="K16" s="34"/>
      <c r="L16" s="34"/>
      <c r="M16" s="35"/>
      <c r="N16" s="35"/>
      <c r="O16" s="35"/>
      <c r="P16" s="35"/>
      <c r="Q16" s="35"/>
      <c r="R16" s="35"/>
      <c r="S16" s="34"/>
    </row>
    <row r="17">
      <c r="A17" s="1" t="s">
        <v>248</v>
      </c>
      <c r="B17" s="12" t="s">
        <v>249</v>
      </c>
      <c r="C17" s="1" t="s">
        <v>611</v>
      </c>
      <c r="D17" s="12" t="s">
        <v>611</v>
      </c>
      <c r="E17" s="1" t="s">
        <v>196</v>
      </c>
      <c r="F17" s="1" t="s">
        <v>566</v>
      </c>
      <c r="G17" s="1" t="s">
        <v>197</v>
      </c>
      <c r="H17" s="12" t="s">
        <v>589</v>
      </c>
      <c r="I17" s="13"/>
      <c r="J17" s="35"/>
      <c r="K17" s="34"/>
      <c r="L17" s="34"/>
      <c r="M17" s="35"/>
      <c r="N17" s="35"/>
      <c r="O17" s="35"/>
      <c r="P17" s="35"/>
      <c r="Q17" s="35"/>
      <c r="R17" s="35"/>
      <c r="S17" s="34"/>
    </row>
    <row r="18">
      <c r="A18" s="1" t="s">
        <v>252</v>
      </c>
      <c r="B18" s="12" t="s">
        <v>253</v>
      </c>
      <c r="C18" s="1" t="s">
        <v>611</v>
      </c>
      <c r="D18" s="12" t="s">
        <v>611</v>
      </c>
      <c r="E18" s="1" t="s">
        <v>196</v>
      </c>
      <c r="F18" s="1" t="s">
        <v>566</v>
      </c>
      <c r="G18" s="1" t="s">
        <v>197</v>
      </c>
      <c r="H18" s="12" t="s">
        <v>589</v>
      </c>
      <c r="I18" s="13"/>
      <c r="J18" s="35"/>
      <c r="K18" s="34"/>
      <c r="L18" s="34"/>
      <c r="M18" s="35"/>
      <c r="N18" s="35"/>
      <c r="O18" s="35"/>
      <c r="P18" s="35"/>
      <c r="Q18" s="35"/>
      <c r="R18" s="35"/>
      <c r="S18" s="34"/>
    </row>
    <row r="19">
      <c r="A19" s="1" t="s">
        <v>255</v>
      </c>
      <c r="B19" s="12" t="s">
        <v>256</v>
      </c>
      <c r="C19" s="1" t="s">
        <v>611</v>
      </c>
      <c r="D19" s="12" t="s">
        <v>611</v>
      </c>
      <c r="E19" s="1" t="s">
        <v>196</v>
      </c>
      <c r="F19" s="1" t="s">
        <v>566</v>
      </c>
      <c r="G19" s="1" t="s">
        <v>197</v>
      </c>
      <c r="H19" s="12" t="s">
        <v>589</v>
      </c>
      <c r="I19" s="13"/>
      <c r="J19" s="35"/>
      <c r="K19" s="34"/>
      <c r="L19" s="34"/>
      <c r="M19" s="35"/>
      <c r="N19" s="35"/>
      <c r="O19" s="35"/>
      <c r="P19" s="35"/>
      <c r="Q19" s="35"/>
      <c r="R19" s="35"/>
      <c r="S19" s="34"/>
    </row>
    <row r="20">
      <c r="A20" s="1" t="s">
        <v>258</v>
      </c>
      <c r="B20" s="12" t="s">
        <v>259</v>
      </c>
      <c r="C20" s="1" t="s">
        <v>598</v>
      </c>
      <c r="D20" s="12" t="s">
        <v>598</v>
      </c>
      <c r="E20" s="1" t="s">
        <v>196</v>
      </c>
      <c r="F20" s="1" t="s">
        <v>566</v>
      </c>
      <c r="G20" s="1" t="s">
        <v>197</v>
      </c>
      <c r="H20" s="12" t="s">
        <v>589</v>
      </c>
      <c r="I20" s="13"/>
      <c r="J20" s="35"/>
      <c r="K20" s="34"/>
      <c r="L20" s="34"/>
      <c r="M20" s="35"/>
      <c r="N20" s="35"/>
      <c r="O20" s="35"/>
      <c r="P20" s="35"/>
      <c r="Q20" s="35"/>
      <c r="R20" s="35"/>
      <c r="S20" s="34"/>
    </row>
    <row r="21">
      <c r="A21" s="1" t="s">
        <v>261</v>
      </c>
      <c r="B21" s="12" t="s">
        <v>262</v>
      </c>
      <c r="C21" s="1" t="s">
        <v>598</v>
      </c>
      <c r="D21" s="12" t="s">
        <v>598</v>
      </c>
      <c r="E21" s="1" t="s">
        <v>196</v>
      </c>
      <c r="F21" s="1" t="s">
        <v>566</v>
      </c>
      <c r="G21" s="1" t="s">
        <v>197</v>
      </c>
      <c r="H21" s="12" t="s">
        <v>589</v>
      </c>
      <c r="I21" s="13"/>
      <c r="J21" s="35"/>
      <c r="K21" s="34"/>
      <c r="L21" s="34"/>
      <c r="M21" s="35"/>
      <c r="N21" s="35"/>
      <c r="O21" s="35"/>
      <c r="P21" s="35"/>
      <c r="Q21" s="35"/>
      <c r="R21" s="35"/>
      <c r="S21" s="34"/>
    </row>
    <row r="22">
      <c r="A22" s="1" t="s">
        <v>264</v>
      </c>
      <c r="B22" s="12" t="s">
        <v>265</v>
      </c>
      <c r="C22" s="1" t="s">
        <v>611</v>
      </c>
      <c r="D22" s="12" t="s">
        <v>611</v>
      </c>
      <c r="E22" s="1" t="s">
        <v>196</v>
      </c>
      <c r="F22" s="1" t="s">
        <v>566</v>
      </c>
      <c r="G22" s="1" t="s">
        <v>197</v>
      </c>
      <c r="H22" s="12" t="s">
        <v>589</v>
      </c>
      <c r="I22" s="13"/>
      <c r="J22" s="35"/>
      <c r="K22" s="34"/>
      <c r="L22" s="34"/>
      <c r="M22" s="35"/>
      <c r="N22" s="35"/>
      <c r="O22" s="35"/>
      <c r="P22" s="35"/>
      <c r="Q22" s="35"/>
      <c r="R22" s="35"/>
      <c r="S22" s="34"/>
    </row>
    <row r="23">
      <c r="A23" s="1" t="s">
        <v>267</v>
      </c>
      <c r="B23" s="12" t="s">
        <v>268</v>
      </c>
      <c r="C23" s="1" t="s">
        <v>611</v>
      </c>
      <c r="D23" s="12" t="s">
        <v>611</v>
      </c>
      <c r="E23" s="1" t="s">
        <v>196</v>
      </c>
      <c r="F23" s="1" t="s">
        <v>566</v>
      </c>
      <c r="G23" s="1" t="s">
        <v>197</v>
      </c>
      <c r="H23" s="12" t="s">
        <v>589</v>
      </c>
      <c r="I23" s="13"/>
      <c r="J23" s="35"/>
      <c r="K23" s="34"/>
      <c r="L23" s="34"/>
      <c r="M23" s="35"/>
      <c r="N23" s="35"/>
      <c r="O23" s="35"/>
      <c r="P23" s="35"/>
      <c r="Q23" s="35"/>
      <c r="R23" s="35"/>
      <c r="S23" s="34"/>
    </row>
    <row r="24">
      <c r="A24" s="1" t="s">
        <v>270</v>
      </c>
      <c r="B24" s="12" t="s">
        <v>271</v>
      </c>
      <c r="C24" s="1" t="s">
        <v>611</v>
      </c>
      <c r="D24" s="12" t="s">
        <v>611</v>
      </c>
      <c r="E24" s="1" t="s">
        <v>196</v>
      </c>
      <c r="F24" s="1" t="s">
        <v>566</v>
      </c>
      <c r="G24" s="1" t="s">
        <v>197</v>
      </c>
      <c r="H24" s="12" t="s">
        <v>589</v>
      </c>
      <c r="I24" s="13"/>
      <c r="J24" s="35"/>
      <c r="K24" s="34"/>
      <c r="L24" s="34"/>
      <c r="M24" s="35"/>
      <c r="N24" s="35"/>
      <c r="O24" s="35"/>
      <c r="P24" s="35"/>
      <c r="Q24" s="35"/>
      <c r="R24" s="35"/>
      <c r="S24" s="34"/>
    </row>
    <row r="25">
      <c r="A25" s="1" t="s">
        <v>273</v>
      </c>
      <c r="B25" s="12" t="s">
        <v>164</v>
      </c>
      <c r="C25" s="1" t="s">
        <v>611</v>
      </c>
      <c r="D25" s="12" t="s">
        <v>611</v>
      </c>
      <c r="E25" s="1" t="s">
        <v>196</v>
      </c>
      <c r="F25" s="1" t="s">
        <v>566</v>
      </c>
      <c r="G25" s="1" t="s">
        <v>197</v>
      </c>
      <c r="H25" s="12" t="s">
        <v>589</v>
      </c>
      <c r="I25" s="13"/>
      <c r="J25" s="35"/>
      <c r="K25" s="34"/>
      <c r="L25" s="34"/>
      <c r="M25" s="35"/>
      <c r="N25" s="35"/>
      <c r="O25" s="35"/>
      <c r="P25" s="35"/>
      <c r="Q25" s="35"/>
      <c r="R25" s="35"/>
      <c r="S25" s="34"/>
    </row>
    <row r="26">
      <c r="A26" s="1" t="s">
        <v>276</v>
      </c>
      <c r="B26" s="12" t="s">
        <v>277</v>
      </c>
      <c r="C26" s="1" t="s">
        <v>611</v>
      </c>
      <c r="D26" s="12" t="s">
        <v>611</v>
      </c>
      <c r="E26" s="1" t="s">
        <v>196</v>
      </c>
      <c r="F26" s="1" t="s">
        <v>566</v>
      </c>
      <c r="G26" s="1" t="s">
        <v>197</v>
      </c>
      <c r="H26" s="12" t="s">
        <v>589</v>
      </c>
      <c r="I26" s="13"/>
      <c r="J26" s="35"/>
      <c r="K26" s="34"/>
      <c r="L26" s="34"/>
      <c r="M26" s="35"/>
      <c r="N26" s="35"/>
      <c r="O26" s="35"/>
      <c r="P26" s="35"/>
      <c r="Q26" s="35"/>
      <c r="R26" s="35"/>
      <c r="S26" s="34"/>
    </row>
    <row r="27">
      <c r="A27" s="1" t="s">
        <v>279</v>
      </c>
      <c r="B27" s="12" t="s">
        <v>280</v>
      </c>
      <c r="C27" s="1" t="s">
        <v>598</v>
      </c>
      <c r="D27" s="12" t="s">
        <v>598</v>
      </c>
      <c r="E27" s="1" t="s">
        <v>196</v>
      </c>
      <c r="F27" s="1" t="s">
        <v>566</v>
      </c>
      <c r="G27" s="1" t="s">
        <v>197</v>
      </c>
      <c r="H27" s="12" t="s">
        <v>591</v>
      </c>
      <c r="I27" s="13"/>
      <c r="J27" s="35"/>
      <c r="K27" s="34"/>
      <c r="L27" s="34"/>
      <c r="M27" s="35"/>
      <c r="N27" s="35"/>
      <c r="O27" s="35"/>
      <c r="P27" s="35"/>
      <c r="Q27" s="35"/>
      <c r="R27" s="35"/>
      <c r="S27" s="34"/>
    </row>
    <row r="28">
      <c r="A28" s="1" t="s">
        <v>281</v>
      </c>
      <c r="B28" s="12" t="s">
        <v>150</v>
      </c>
      <c r="C28" s="1" t="s">
        <v>598</v>
      </c>
      <c r="D28" s="12" t="s">
        <v>598</v>
      </c>
      <c r="E28" s="1" t="s">
        <v>196</v>
      </c>
      <c r="F28" s="1" t="s">
        <v>566</v>
      </c>
      <c r="G28" s="1" t="s">
        <v>197</v>
      </c>
      <c r="H28" s="12" t="s">
        <v>591</v>
      </c>
      <c r="I28" s="13"/>
      <c r="J28" s="35"/>
      <c r="K28" s="34"/>
      <c r="L28" s="34"/>
      <c r="M28" s="35"/>
      <c r="N28" s="35"/>
      <c r="O28" s="35"/>
      <c r="P28" s="35"/>
      <c r="Q28" s="35"/>
      <c r="R28" s="35"/>
      <c r="S28" s="34"/>
    </row>
    <row r="29">
      <c r="A29" s="1" t="s">
        <v>282</v>
      </c>
      <c r="B29" s="12" t="s">
        <v>283</v>
      </c>
      <c r="C29" s="1" t="s">
        <v>612</v>
      </c>
      <c r="D29" s="12" t="s">
        <v>612</v>
      </c>
      <c r="E29" s="1" t="s">
        <v>196</v>
      </c>
      <c r="F29" s="1" t="s">
        <v>566</v>
      </c>
      <c r="G29" s="1" t="s">
        <v>197</v>
      </c>
      <c r="H29" s="1" t="s">
        <v>597</v>
      </c>
      <c r="I29" s="13"/>
      <c r="J29" s="35"/>
      <c r="K29" s="34"/>
      <c r="L29" s="34"/>
      <c r="M29" s="35"/>
      <c r="N29" s="35"/>
      <c r="O29" s="35"/>
      <c r="P29" s="35"/>
      <c r="Q29" s="35"/>
      <c r="R29" s="35"/>
      <c r="S29" s="34"/>
    </row>
    <row r="30">
      <c r="A30" s="1" t="s">
        <v>285</v>
      </c>
      <c r="B30" s="12" t="s">
        <v>160</v>
      </c>
      <c r="C30" s="1" t="s">
        <v>598</v>
      </c>
      <c r="D30" s="12" t="s">
        <v>598</v>
      </c>
      <c r="E30" s="1" t="s">
        <v>196</v>
      </c>
      <c r="F30" s="1" t="s">
        <v>566</v>
      </c>
      <c r="G30" s="1" t="s">
        <v>197</v>
      </c>
      <c r="H30" s="12" t="s">
        <v>573</v>
      </c>
      <c r="I30" s="13"/>
      <c r="J30" s="35"/>
      <c r="K30" s="34"/>
      <c r="L30" s="34"/>
      <c r="M30" s="35"/>
      <c r="N30" s="35"/>
      <c r="O30" s="35"/>
      <c r="P30" s="35"/>
      <c r="Q30" s="35"/>
      <c r="R30" s="35"/>
      <c r="S30" s="34"/>
    </row>
    <row r="31">
      <c r="A31" s="1" t="s">
        <v>288</v>
      </c>
      <c r="B31" s="12" t="s">
        <v>289</v>
      </c>
      <c r="C31" s="1" t="s">
        <v>612</v>
      </c>
      <c r="D31" s="12" t="s">
        <v>612</v>
      </c>
      <c r="E31" s="1" t="s">
        <v>196</v>
      </c>
      <c r="F31" s="1" t="s">
        <v>566</v>
      </c>
      <c r="G31" s="1" t="s">
        <v>197</v>
      </c>
      <c r="H31" s="12" t="s">
        <v>573</v>
      </c>
      <c r="I31" s="13"/>
      <c r="J31" s="35"/>
      <c r="K31" s="34"/>
      <c r="L31" s="34"/>
      <c r="M31" s="35"/>
      <c r="N31" s="35"/>
      <c r="O31" s="35"/>
      <c r="P31" s="35"/>
      <c r="Q31" s="35"/>
      <c r="R31" s="35"/>
      <c r="S31" s="34"/>
    </row>
    <row r="32">
      <c r="A32" s="1" t="s">
        <v>290</v>
      </c>
      <c r="B32" s="12" t="s">
        <v>291</v>
      </c>
      <c r="C32" s="1" t="s">
        <v>598</v>
      </c>
      <c r="D32" s="12" t="s">
        <v>598</v>
      </c>
      <c r="E32" s="1" t="s">
        <v>196</v>
      </c>
      <c r="F32" s="1" t="s">
        <v>613</v>
      </c>
      <c r="G32" s="1" t="s">
        <v>197</v>
      </c>
      <c r="H32" s="12" t="s">
        <v>594</v>
      </c>
      <c r="I32" s="13"/>
      <c r="J32" s="35"/>
      <c r="K32" s="34"/>
      <c r="L32" s="34"/>
      <c r="M32" s="35"/>
      <c r="N32" s="35"/>
      <c r="O32" s="35"/>
      <c r="P32" s="35"/>
      <c r="Q32" s="35"/>
      <c r="R32" s="35"/>
      <c r="S32" s="34"/>
    </row>
    <row r="33">
      <c r="A33" s="1" t="s">
        <v>294</v>
      </c>
      <c r="B33" s="12" t="s">
        <v>295</v>
      </c>
      <c r="C33" s="1" t="s">
        <v>611</v>
      </c>
      <c r="D33" s="12" t="s">
        <v>611</v>
      </c>
      <c r="E33" s="1" t="s">
        <v>196</v>
      </c>
      <c r="F33" s="1" t="s">
        <v>614</v>
      </c>
      <c r="G33" s="1" t="s">
        <v>197</v>
      </c>
      <c r="H33" s="12" t="s">
        <v>589</v>
      </c>
      <c r="I33" s="13"/>
      <c r="J33" s="35"/>
      <c r="K33" s="34"/>
      <c r="L33" s="34"/>
      <c r="M33" s="35"/>
      <c r="N33" s="35"/>
      <c r="O33" s="35"/>
      <c r="P33" s="35"/>
      <c r="Q33" s="35"/>
      <c r="R33" s="35"/>
      <c r="S33" s="34"/>
    </row>
    <row r="34">
      <c r="A34" s="1" t="s">
        <v>297</v>
      </c>
      <c r="B34" s="12" t="s">
        <v>298</v>
      </c>
      <c r="C34" s="1" t="s">
        <v>611</v>
      </c>
      <c r="D34" s="12" t="s">
        <v>611</v>
      </c>
      <c r="E34" s="1" t="s">
        <v>196</v>
      </c>
      <c r="F34" s="1" t="s">
        <v>614</v>
      </c>
      <c r="G34" s="1" t="s">
        <v>197</v>
      </c>
      <c r="H34" s="12" t="s">
        <v>589</v>
      </c>
      <c r="I34" s="13"/>
      <c r="J34" s="35"/>
      <c r="K34" s="34"/>
      <c r="L34" s="34"/>
      <c r="M34" s="35"/>
      <c r="N34" s="35"/>
      <c r="O34" s="35"/>
      <c r="P34" s="35"/>
      <c r="Q34" s="35"/>
      <c r="R34" s="35"/>
      <c r="S34" s="34"/>
    </row>
    <row r="35">
      <c r="A35" s="1" t="s">
        <v>300</v>
      </c>
      <c r="B35" s="12" t="s">
        <v>301</v>
      </c>
      <c r="C35" s="1" t="s">
        <v>611</v>
      </c>
      <c r="D35" s="12" t="s">
        <v>611</v>
      </c>
      <c r="E35" s="1" t="s">
        <v>196</v>
      </c>
      <c r="F35" s="1" t="s">
        <v>614</v>
      </c>
      <c r="G35" s="1" t="s">
        <v>197</v>
      </c>
      <c r="H35" s="12" t="s">
        <v>589</v>
      </c>
      <c r="I35" s="13"/>
      <c r="J35" s="35"/>
      <c r="K35" s="34"/>
      <c r="L35" s="34"/>
      <c r="M35" s="35"/>
      <c r="N35" s="35"/>
      <c r="O35" s="35"/>
      <c r="P35" s="35"/>
      <c r="Q35" s="35"/>
      <c r="R35" s="35"/>
      <c r="S35" s="34"/>
    </row>
    <row r="36">
      <c r="A36" s="1" t="s">
        <v>303</v>
      </c>
      <c r="B36" s="12" t="s">
        <v>304</v>
      </c>
      <c r="C36" s="1" t="s">
        <v>611</v>
      </c>
      <c r="D36" s="12" t="s">
        <v>611</v>
      </c>
      <c r="E36" s="1" t="s">
        <v>196</v>
      </c>
      <c r="F36" s="1" t="s">
        <v>614</v>
      </c>
      <c r="G36" s="1" t="s">
        <v>197</v>
      </c>
      <c r="H36" s="12" t="s">
        <v>589</v>
      </c>
      <c r="I36" s="13"/>
      <c r="J36" s="35"/>
      <c r="K36" s="34"/>
      <c r="L36" s="34"/>
      <c r="M36" s="35"/>
      <c r="N36" s="35"/>
      <c r="O36" s="35"/>
      <c r="P36" s="35"/>
      <c r="Q36" s="35"/>
      <c r="R36" s="35"/>
      <c r="S36" s="34"/>
    </row>
    <row r="37">
      <c r="A37" s="1" t="s">
        <v>306</v>
      </c>
      <c r="B37" s="12" t="s">
        <v>152</v>
      </c>
      <c r="C37" s="1" t="s">
        <v>611</v>
      </c>
      <c r="D37" s="12" t="s">
        <v>611</v>
      </c>
      <c r="E37" s="1" t="s">
        <v>196</v>
      </c>
      <c r="F37" s="1" t="s">
        <v>566</v>
      </c>
      <c r="G37" s="1" t="s">
        <v>197</v>
      </c>
      <c r="H37" s="12" t="s">
        <v>589</v>
      </c>
      <c r="I37" s="13"/>
      <c r="J37" s="35"/>
      <c r="K37" s="34"/>
      <c r="L37" s="34"/>
      <c r="M37" s="35"/>
      <c r="N37" s="35"/>
      <c r="O37" s="35"/>
      <c r="P37" s="35"/>
      <c r="Q37" s="35"/>
      <c r="R37" s="35"/>
      <c r="S37" s="34"/>
    </row>
    <row r="38">
      <c r="A38" s="1" t="s">
        <v>308</v>
      </c>
      <c r="B38" s="12" t="s">
        <v>309</v>
      </c>
      <c r="C38" s="1" t="s">
        <v>611</v>
      </c>
      <c r="D38" s="12" t="s">
        <v>611</v>
      </c>
      <c r="E38" s="1" t="s">
        <v>196</v>
      </c>
      <c r="F38" s="1" t="s">
        <v>614</v>
      </c>
      <c r="G38" s="1" t="s">
        <v>197</v>
      </c>
      <c r="H38" s="12" t="s">
        <v>589</v>
      </c>
      <c r="I38" s="13"/>
      <c r="J38" s="35"/>
      <c r="K38" s="34"/>
      <c r="L38" s="34"/>
      <c r="M38" s="35"/>
      <c r="N38" s="35"/>
      <c r="O38" s="35"/>
      <c r="P38" s="35"/>
      <c r="Q38" s="35"/>
      <c r="R38" s="35"/>
      <c r="S38" s="34"/>
    </row>
    <row r="39">
      <c r="A39" s="1" t="s">
        <v>312</v>
      </c>
      <c r="B39" s="12" t="s">
        <v>313</v>
      </c>
      <c r="C39" s="1" t="s">
        <v>611</v>
      </c>
      <c r="D39" s="12" t="s">
        <v>611</v>
      </c>
      <c r="E39" s="1" t="s">
        <v>196</v>
      </c>
      <c r="F39" s="1" t="s">
        <v>614</v>
      </c>
      <c r="G39" s="1" t="s">
        <v>197</v>
      </c>
      <c r="H39" s="12" t="s">
        <v>589</v>
      </c>
      <c r="I39" s="13"/>
      <c r="J39" s="35"/>
      <c r="K39" s="34"/>
      <c r="L39" s="34"/>
      <c r="M39" s="35"/>
      <c r="N39" s="35"/>
      <c r="O39" s="35"/>
      <c r="P39" s="35"/>
      <c r="Q39" s="35"/>
      <c r="R39" s="35"/>
      <c r="S39" s="34"/>
    </row>
    <row r="40">
      <c r="A40" s="1" t="s">
        <v>315</v>
      </c>
      <c r="B40" s="12" t="s">
        <v>316</v>
      </c>
      <c r="C40" s="1" t="s">
        <v>611</v>
      </c>
      <c r="D40" s="12" t="s">
        <v>611</v>
      </c>
      <c r="E40" s="1" t="s">
        <v>196</v>
      </c>
      <c r="F40" s="1" t="s">
        <v>614</v>
      </c>
      <c r="G40" s="1" t="s">
        <v>197</v>
      </c>
      <c r="H40" s="12" t="s">
        <v>589</v>
      </c>
      <c r="I40" s="13"/>
      <c r="J40" s="35"/>
      <c r="K40" s="34"/>
      <c r="L40" s="34"/>
      <c r="M40" s="35"/>
      <c r="N40" s="35"/>
      <c r="O40" s="35"/>
      <c r="P40" s="35"/>
      <c r="Q40" s="35"/>
      <c r="R40" s="35"/>
      <c r="S40" s="34"/>
    </row>
    <row r="41">
      <c r="A41" s="1" t="s">
        <v>317</v>
      </c>
      <c r="B41" s="12" t="s">
        <v>318</v>
      </c>
      <c r="C41" s="1" t="s">
        <v>611</v>
      </c>
      <c r="D41" s="12" t="s">
        <v>611</v>
      </c>
      <c r="E41" s="1" t="s">
        <v>196</v>
      </c>
      <c r="F41" s="1" t="s">
        <v>614</v>
      </c>
      <c r="G41" s="1" t="s">
        <v>197</v>
      </c>
      <c r="H41" s="12" t="s">
        <v>589</v>
      </c>
      <c r="I41" s="13"/>
      <c r="J41" s="35"/>
      <c r="K41" s="34"/>
      <c r="L41" s="34"/>
      <c r="M41" s="35"/>
      <c r="N41" s="35"/>
      <c r="O41" s="35"/>
      <c r="P41" s="35"/>
      <c r="Q41" s="35"/>
      <c r="R41" s="35"/>
      <c r="S41" s="34"/>
    </row>
    <row r="42">
      <c r="A42" s="1" t="s">
        <v>320</v>
      </c>
      <c r="B42" s="12" t="s">
        <v>321</v>
      </c>
      <c r="C42" s="1" t="s">
        <v>598</v>
      </c>
      <c r="D42" s="12" t="s">
        <v>598</v>
      </c>
      <c r="E42" s="1" t="s">
        <v>196</v>
      </c>
      <c r="F42" s="1" t="s">
        <v>614</v>
      </c>
      <c r="G42" s="1" t="s">
        <v>197</v>
      </c>
      <c r="H42" s="12" t="s">
        <v>589</v>
      </c>
      <c r="I42" s="13"/>
      <c r="J42" s="35"/>
      <c r="K42" s="34"/>
      <c r="L42" s="34"/>
      <c r="M42" s="35"/>
      <c r="N42" s="35"/>
      <c r="O42" s="35"/>
      <c r="P42" s="35"/>
      <c r="Q42" s="35"/>
      <c r="R42" s="35"/>
      <c r="S42" s="34"/>
    </row>
    <row r="43">
      <c r="A43" s="1" t="s">
        <v>323</v>
      </c>
      <c r="B43" s="12" t="s">
        <v>324</v>
      </c>
      <c r="C43" s="1" t="s">
        <v>598</v>
      </c>
      <c r="D43" s="12" t="s">
        <v>598</v>
      </c>
      <c r="E43" s="1" t="s">
        <v>196</v>
      </c>
      <c r="F43" s="1" t="s">
        <v>614</v>
      </c>
      <c r="G43" s="1" t="s">
        <v>197</v>
      </c>
      <c r="H43" s="12" t="s">
        <v>589</v>
      </c>
      <c r="I43" s="13"/>
      <c r="J43" s="35"/>
      <c r="K43" s="34"/>
      <c r="L43" s="34"/>
      <c r="M43" s="35"/>
      <c r="N43" s="35"/>
      <c r="O43" s="35"/>
      <c r="P43" s="35"/>
      <c r="Q43" s="35"/>
      <c r="R43" s="35"/>
      <c r="S43" s="34"/>
    </row>
    <row r="44">
      <c r="A44" s="1" t="s">
        <v>325</v>
      </c>
      <c r="B44" s="12" t="s">
        <v>326</v>
      </c>
      <c r="C44" s="1" t="s">
        <v>598</v>
      </c>
      <c r="D44" s="12" t="s">
        <v>598</v>
      </c>
      <c r="E44" s="1" t="s">
        <v>196</v>
      </c>
      <c r="F44" s="1" t="s">
        <v>614</v>
      </c>
      <c r="G44" s="1" t="s">
        <v>197</v>
      </c>
      <c r="H44" s="12" t="s">
        <v>589</v>
      </c>
      <c r="I44" s="13"/>
      <c r="J44" s="35"/>
      <c r="K44" s="34"/>
      <c r="L44" s="34"/>
      <c r="M44" s="35"/>
      <c r="N44" s="35"/>
      <c r="O44" s="35"/>
      <c r="P44" s="35"/>
      <c r="Q44" s="35"/>
      <c r="R44" s="35"/>
      <c r="S44" s="34"/>
    </row>
    <row r="45">
      <c r="A45" s="1" t="s">
        <v>327</v>
      </c>
      <c r="B45" s="12" t="s">
        <v>328</v>
      </c>
      <c r="C45" s="1" t="s">
        <v>598</v>
      </c>
      <c r="D45" s="12" t="s">
        <v>598</v>
      </c>
      <c r="E45" s="1" t="s">
        <v>196</v>
      </c>
      <c r="F45" s="1" t="s">
        <v>614</v>
      </c>
      <c r="G45" s="1" t="s">
        <v>197</v>
      </c>
      <c r="H45" s="12" t="s">
        <v>589</v>
      </c>
      <c r="I45" s="13"/>
      <c r="J45" s="35"/>
      <c r="K45" s="34"/>
      <c r="L45" s="34"/>
      <c r="M45" s="35"/>
      <c r="N45" s="35"/>
      <c r="O45" s="35"/>
      <c r="P45" s="35"/>
      <c r="Q45" s="35"/>
      <c r="R45" s="35"/>
      <c r="S45" s="34"/>
    </row>
    <row r="46">
      <c r="A46" s="1" t="s">
        <v>329</v>
      </c>
      <c r="B46" s="12" t="s">
        <v>330</v>
      </c>
      <c r="C46" s="1" t="s">
        <v>598</v>
      </c>
      <c r="D46" s="12" t="s">
        <v>598</v>
      </c>
      <c r="E46" s="1" t="s">
        <v>196</v>
      </c>
      <c r="F46" s="1" t="s">
        <v>614</v>
      </c>
      <c r="G46" s="1" t="s">
        <v>197</v>
      </c>
      <c r="H46" s="12" t="s">
        <v>589</v>
      </c>
      <c r="I46" s="13"/>
      <c r="J46" s="35"/>
      <c r="K46" s="34"/>
      <c r="L46" s="34"/>
      <c r="M46" s="35"/>
      <c r="N46" s="35"/>
      <c r="O46" s="35"/>
      <c r="P46" s="35"/>
      <c r="Q46" s="35"/>
      <c r="R46" s="35"/>
      <c r="S46" s="34"/>
    </row>
    <row r="47">
      <c r="A47" s="1" t="s">
        <v>331</v>
      </c>
      <c r="B47" s="12" t="s">
        <v>332</v>
      </c>
      <c r="C47" s="1" t="s">
        <v>598</v>
      </c>
      <c r="D47" s="12" t="s">
        <v>598</v>
      </c>
      <c r="E47" s="1" t="s">
        <v>196</v>
      </c>
      <c r="F47" s="1" t="s">
        <v>614</v>
      </c>
      <c r="G47" s="1" t="s">
        <v>197</v>
      </c>
      <c r="H47" s="12" t="s">
        <v>589</v>
      </c>
      <c r="I47" s="13"/>
      <c r="J47" s="35"/>
      <c r="K47" s="34"/>
      <c r="L47" s="34"/>
      <c r="M47" s="35"/>
      <c r="N47" s="35"/>
      <c r="O47" s="35"/>
      <c r="P47" s="35"/>
      <c r="Q47" s="35"/>
      <c r="R47" s="35"/>
      <c r="S47" s="34"/>
    </row>
    <row r="48">
      <c r="A48" s="1" t="s">
        <v>333</v>
      </c>
      <c r="B48" s="12" t="s">
        <v>334</v>
      </c>
      <c r="C48" s="1" t="s">
        <v>598</v>
      </c>
      <c r="D48" s="12" t="s">
        <v>598</v>
      </c>
      <c r="E48" s="1" t="s">
        <v>196</v>
      </c>
      <c r="F48" s="1" t="s">
        <v>614</v>
      </c>
      <c r="G48" s="1" t="s">
        <v>197</v>
      </c>
      <c r="H48" s="12" t="s">
        <v>589</v>
      </c>
      <c r="I48" s="13"/>
      <c r="J48" s="35"/>
      <c r="K48" s="34"/>
      <c r="L48" s="34"/>
      <c r="M48" s="35"/>
      <c r="N48" s="35"/>
      <c r="O48" s="35"/>
      <c r="P48" s="35"/>
      <c r="Q48" s="35"/>
      <c r="R48" s="35"/>
      <c r="S48" s="34"/>
    </row>
    <row r="49">
      <c r="A49" s="1" t="s">
        <v>336</v>
      </c>
      <c r="B49" s="12" t="s">
        <v>337</v>
      </c>
      <c r="C49" s="1" t="s">
        <v>598</v>
      </c>
      <c r="D49" s="12" t="s">
        <v>598</v>
      </c>
      <c r="E49" s="1" t="s">
        <v>196</v>
      </c>
      <c r="F49" s="1" t="s">
        <v>614</v>
      </c>
      <c r="G49" s="1" t="s">
        <v>197</v>
      </c>
      <c r="H49" s="12" t="s">
        <v>589</v>
      </c>
      <c r="I49" s="13"/>
      <c r="J49" s="35"/>
      <c r="K49" s="34"/>
      <c r="L49" s="34"/>
      <c r="M49" s="35"/>
      <c r="N49" s="35"/>
      <c r="O49" s="35"/>
      <c r="P49" s="35"/>
      <c r="Q49" s="35"/>
      <c r="R49" s="35"/>
      <c r="S49" s="34"/>
    </row>
    <row r="50">
      <c r="A50" s="1" t="s">
        <v>338</v>
      </c>
      <c r="B50" s="12" t="s">
        <v>162</v>
      </c>
      <c r="C50" s="1" t="s">
        <v>611</v>
      </c>
      <c r="D50" s="12" t="s">
        <v>611</v>
      </c>
      <c r="E50" s="1" t="s">
        <v>196</v>
      </c>
      <c r="F50" s="1" t="s">
        <v>566</v>
      </c>
      <c r="G50" s="1" t="s">
        <v>197</v>
      </c>
      <c r="H50" s="12" t="s">
        <v>589</v>
      </c>
      <c r="I50" s="13"/>
      <c r="J50" s="35"/>
      <c r="K50" s="34"/>
      <c r="L50" s="34"/>
      <c r="M50" s="35"/>
      <c r="N50" s="35"/>
      <c r="O50" s="35"/>
      <c r="P50" s="35"/>
      <c r="Q50" s="35"/>
      <c r="R50" s="35"/>
      <c r="S50" s="34"/>
    </row>
    <row r="51">
      <c r="A51" s="1" t="s">
        <v>340</v>
      </c>
      <c r="B51" s="12" t="s">
        <v>341</v>
      </c>
      <c r="C51" s="1" t="s">
        <v>598</v>
      </c>
      <c r="D51" s="12" t="s">
        <v>598</v>
      </c>
      <c r="E51" s="1" t="s">
        <v>196</v>
      </c>
      <c r="F51" s="1" t="s">
        <v>614</v>
      </c>
      <c r="G51" s="1" t="s">
        <v>197</v>
      </c>
      <c r="H51" s="12" t="s">
        <v>589</v>
      </c>
      <c r="I51" s="13"/>
      <c r="J51" s="35"/>
      <c r="K51" s="34"/>
      <c r="L51" s="34"/>
      <c r="M51" s="35"/>
      <c r="N51" s="35"/>
      <c r="O51" s="35"/>
      <c r="P51" s="35"/>
      <c r="Q51" s="35"/>
      <c r="R51" s="35"/>
      <c r="S51" s="34"/>
    </row>
    <row r="52">
      <c r="A52" s="1" t="s">
        <v>342</v>
      </c>
      <c r="B52" s="12" t="s">
        <v>343</v>
      </c>
      <c r="C52" s="1" t="s">
        <v>612</v>
      </c>
      <c r="D52" s="12" t="s">
        <v>612</v>
      </c>
      <c r="E52" s="1" t="s">
        <v>196</v>
      </c>
      <c r="F52" s="1" t="s">
        <v>614</v>
      </c>
      <c r="G52" s="1" t="s">
        <v>197</v>
      </c>
      <c r="H52" s="12" t="s">
        <v>565</v>
      </c>
      <c r="I52" s="13"/>
      <c r="J52" s="35"/>
      <c r="K52" s="34"/>
      <c r="L52" s="34"/>
      <c r="M52" s="35"/>
      <c r="N52" s="35"/>
      <c r="O52" s="35"/>
      <c r="P52" s="35"/>
      <c r="Q52" s="35"/>
      <c r="R52" s="35"/>
      <c r="S52" s="34"/>
    </row>
    <row r="53">
      <c r="A53" s="1" t="s">
        <v>346</v>
      </c>
      <c r="B53" s="12" t="s">
        <v>347</v>
      </c>
      <c r="C53" s="1" t="s">
        <v>611</v>
      </c>
      <c r="D53" s="12" t="s">
        <v>611</v>
      </c>
      <c r="E53" s="1" t="s">
        <v>196</v>
      </c>
      <c r="F53" s="1" t="s">
        <v>614</v>
      </c>
      <c r="G53" s="1" t="s">
        <v>197</v>
      </c>
      <c r="H53" s="12" t="s">
        <v>589</v>
      </c>
      <c r="I53" s="13"/>
      <c r="J53" s="35"/>
      <c r="K53" s="34"/>
      <c r="L53" s="34"/>
      <c r="M53" s="35"/>
      <c r="N53" s="35"/>
      <c r="O53" s="35"/>
      <c r="P53" s="35"/>
      <c r="Q53" s="35"/>
      <c r="R53" s="35"/>
      <c r="S53" s="34"/>
    </row>
    <row r="54">
      <c r="A54" s="1" t="s">
        <v>349</v>
      </c>
      <c r="B54" s="12" t="s">
        <v>350</v>
      </c>
      <c r="C54" s="1" t="s">
        <v>611</v>
      </c>
      <c r="D54" s="12" t="s">
        <v>611</v>
      </c>
      <c r="E54" s="1" t="s">
        <v>196</v>
      </c>
      <c r="F54" s="1" t="s">
        <v>614</v>
      </c>
      <c r="G54" s="1" t="s">
        <v>197</v>
      </c>
      <c r="H54" s="12" t="s">
        <v>589</v>
      </c>
      <c r="I54" s="13"/>
      <c r="J54" s="35"/>
      <c r="K54" s="34"/>
      <c r="L54" s="34"/>
      <c r="M54" s="35"/>
      <c r="N54" s="35"/>
      <c r="O54" s="35"/>
      <c r="P54" s="35"/>
      <c r="Q54" s="35"/>
      <c r="R54" s="35"/>
      <c r="S54" s="34"/>
    </row>
    <row r="55">
      <c r="A55" s="1" t="s">
        <v>351</v>
      </c>
      <c r="B55" s="12" t="s">
        <v>352</v>
      </c>
      <c r="C55" s="1" t="s">
        <v>611</v>
      </c>
      <c r="D55" s="12" t="s">
        <v>611</v>
      </c>
      <c r="E55" s="1" t="s">
        <v>196</v>
      </c>
      <c r="F55" s="1" t="s">
        <v>614</v>
      </c>
      <c r="G55" s="1" t="s">
        <v>197</v>
      </c>
      <c r="H55" s="12" t="s">
        <v>589</v>
      </c>
      <c r="I55" s="13"/>
      <c r="J55" s="35"/>
      <c r="K55" s="34"/>
      <c r="L55" s="34"/>
      <c r="M55" s="35"/>
      <c r="N55" s="35"/>
      <c r="O55" s="35"/>
      <c r="P55" s="35"/>
      <c r="Q55" s="35"/>
      <c r="R55" s="35"/>
      <c r="S55" s="34"/>
    </row>
    <row r="56">
      <c r="A56" s="1" t="s">
        <v>353</v>
      </c>
      <c r="B56" s="12" t="s">
        <v>354</v>
      </c>
      <c r="C56" s="1" t="s">
        <v>611</v>
      </c>
      <c r="D56" s="12" t="s">
        <v>611</v>
      </c>
      <c r="E56" s="1" t="s">
        <v>196</v>
      </c>
      <c r="F56" s="1" t="s">
        <v>614</v>
      </c>
      <c r="G56" s="1" t="s">
        <v>197</v>
      </c>
      <c r="H56" s="12" t="s">
        <v>589</v>
      </c>
      <c r="I56" s="13"/>
      <c r="J56" s="35"/>
      <c r="K56" s="34"/>
      <c r="L56" s="34"/>
      <c r="M56" s="35"/>
      <c r="N56" s="35"/>
      <c r="O56" s="35"/>
      <c r="P56" s="35"/>
      <c r="Q56" s="35"/>
      <c r="R56" s="35"/>
      <c r="S56" s="34"/>
    </row>
    <row r="57">
      <c r="A57" s="1" t="s">
        <v>355</v>
      </c>
      <c r="B57" s="12" t="s">
        <v>356</v>
      </c>
      <c r="C57" s="1" t="s">
        <v>611</v>
      </c>
      <c r="D57" s="12" t="s">
        <v>611</v>
      </c>
      <c r="E57" s="1" t="s">
        <v>196</v>
      </c>
      <c r="F57" s="1" t="s">
        <v>614</v>
      </c>
      <c r="G57" s="1" t="s">
        <v>197</v>
      </c>
      <c r="H57" s="12" t="s">
        <v>589</v>
      </c>
      <c r="I57" s="13"/>
      <c r="J57" s="35"/>
      <c r="K57" s="34"/>
      <c r="L57" s="34"/>
      <c r="M57" s="35"/>
      <c r="N57" s="35"/>
      <c r="O57" s="35"/>
      <c r="P57" s="35"/>
      <c r="Q57" s="35"/>
      <c r="R57" s="35"/>
      <c r="S57" s="34"/>
    </row>
    <row r="58">
      <c r="A58" s="1" t="s">
        <v>357</v>
      </c>
      <c r="B58" s="1" t="s">
        <v>88</v>
      </c>
      <c r="C58" s="1" t="s">
        <v>611</v>
      </c>
      <c r="D58" s="12" t="s">
        <v>611</v>
      </c>
      <c r="E58" s="1" t="s">
        <v>196</v>
      </c>
      <c r="F58" s="1" t="s">
        <v>566</v>
      </c>
      <c r="G58" s="1" t="s">
        <v>197</v>
      </c>
      <c r="H58" s="12" t="s">
        <v>615</v>
      </c>
      <c r="I58" s="13"/>
      <c r="J58" s="35"/>
      <c r="K58" s="34"/>
      <c r="L58" s="34"/>
      <c r="M58" s="35"/>
      <c r="N58" s="35"/>
      <c r="O58" s="35"/>
      <c r="P58" s="35"/>
      <c r="Q58" s="35"/>
      <c r="R58" s="35"/>
      <c r="S58" s="34"/>
    </row>
    <row r="59">
      <c r="A59" s="1" t="s">
        <v>360</v>
      </c>
      <c r="B59" s="12" t="s">
        <v>361</v>
      </c>
      <c r="C59" s="1" t="s">
        <v>611</v>
      </c>
      <c r="D59" s="12" t="s">
        <v>611</v>
      </c>
      <c r="E59" s="1" t="s">
        <v>616</v>
      </c>
      <c r="F59" s="1" t="s">
        <v>614</v>
      </c>
      <c r="G59" s="1" t="s">
        <v>197</v>
      </c>
      <c r="H59" s="12" t="s">
        <v>589</v>
      </c>
      <c r="I59" s="13"/>
      <c r="J59" s="35"/>
      <c r="K59" s="34"/>
      <c r="L59" s="34"/>
      <c r="M59" s="35"/>
      <c r="N59" s="35"/>
      <c r="O59" s="35"/>
      <c r="P59" s="35"/>
      <c r="Q59" s="35"/>
      <c r="R59" s="35"/>
      <c r="S59" s="34"/>
    </row>
    <row r="60">
      <c r="A60" s="1" t="s">
        <v>362</v>
      </c>
      <c r="B60" s="12" t="s">
        <v>363</v>
      </c>
      <c r="C60" s="1" t="s">
        <v>598</v>
      </c>
      <c r="D60" s="12" t="s">
        <v>598</v>
      </c>
      <c r="E60" s="1" t="s">
        <v>196</v>
      </c>
      <c r="F60" s="1" t="s">
        <v>614</v>
      </c>
      <c r="G60" s="1" t="s">
        <v>197</v>
      </c>
      <c r="H60" s="12" t="s">
        <v>589</v>
      </c>
      <c r="I60" s="13"/>
      <c r="J60" s="35"/>
      <c r="K60" s="34"/>
      <c r="L60" s="34"/>
      <c r="M60" s="35"/>
      <c r="N60" s="35"/>
      <c r="O60" s="35"/>
      <c r="P60" s="35"/>
      <c r="Q60" s="35"/>
      <c r="R60" s="35"/>
      <c r="S60" s="34"/>
    </row>
    <row r="61">
      <c r="A61" s="1" t="s">
        <v>364</v>
      </c>
      <c r="B61" s="12" t="s">
        <v>365</v>
      </c>
      <c r="C61" s="1" t="s">
        <v>612</v>
      </c>
      <c r="D61" s="12" t="s">
        <v>612</v>
      </c>
      <c r="E61" s="1" t="s">
        <v>196</v>
      </c>
      <c r="F61" s="1" t="s">
        <v>614</v>
      </c>
      <c r="G61" s="1" t="s">
        <v>197</v>
      </c>
      <c r="H61" s="12" t="s">
        <v>565</v>
      </c>
      <c r="I61" s="13"/>
      <c r="J61" s="35"/>
      <c r="K61" s="34"/>
      <c r="L61" s="34"/>
      <c r="M61" s="35"/>
      <c r="N61" s="35"/>
      <c r="O61" s="35"/>
      <c r="P61" s="35"/>
      <c r="Q61" s="35"/>
      <c r="R61" s="35"/>
      <c r="S61" s="34"/>
    </row>
    <row r="62">
      <c r="A62" s="1" t="s">
        <v>367</v>
      </c>
      <c r="B62" s="12" t="s">
        <v>368</v>
      </c>
      <c r="C62" s="1" t="s">
        <v>612</v>
      </c>
      <c r="D62" s="12" t="s">
        <v>612</v>
      </c>
      <c r="E62" s="1" t="s">
        <v>196</v>
      </c>
      <c r="F62" s="1" t="s">
        <v>614</v>
      </c>
      <c r="G62" s="1" t="s">
        <v>197</v>
      </c>
      <c r="H62" s="12" t="s">
        <v>573</v>
      </c>
      <c r="I62" s="13"/>
      <c r="J62" s="35"/>
      <c r="K62" s="34"/>
      <c r="L62" s="34"/>
      <c r="M62" s="35"/>
      <c r="N62" s="35"/>
      <c r="O62" s="35"/>
      <c r="P62" s="35"/>
      <c r="Q62" s="35"/>
      <c r="R62" s="35"/>
      <c r="S62" s="34"/>
    </row>
    <row r="63">
      <c r="A63" s="1" t="s">
        <v>371</v>
      </c>
      <c r="B63" s="12" t="s">
        <v>372</v>
      </c>
      <c r="C63" s="1" t="s">
        <v>612</v>
      </c>
      <c r="D63" s="12" t="s">
        <v>612</v>
      </c>
      <c r="E63" s="1" t="s">
        <v>196</v>
      </c>
      <c r="F63" s="1" t="s">
        <v>614</v>
      </c>
      <c r="G63" s="1" t="s">
        <v>197</v>
      </c>
      <c r="H63" s="12" t="s">
        <v>565</v>
      </c>
      <c r="I63" s="13"/>
      <c r="J63" s="35"/>
      <c r="K63" s="34"/>
      <c r="L63" s="34"/>
      <c r="M63" s="35"/>
      <c r="N63" s="35"/>
      <c r="O63" s="35"/>
      <c r="P63" s="35"/>
      <c r="Q63" s="35"/>
      <c r="R63" s="35"/>
      <c r="S63" s="34"/>
    </row>
    <row r="64">
      <c r="A64" s="1" t="s">
        <v>374</v>
      </c>
      <c r="B64" s="12" t="s">
        <v>375</v>
      </c>
      <c r="C64" s="1" t="s">
        <v>611</v>
      </c>
      <c r="D64" s="12" t="s">
        <v>611</v>
      </c>
      <c r="E64" s="1" t="s">
        <v>196</v>
      </c>
      <c r="F64" s="1" t="s">
        <v>614</v>
      </c>
      <c r="G64" s="1" t="s">
        <v>197</v>
      </c>
      <c r="H64" s="12" t="s">
        <v>589</v>
      </c>
      <c r="I64" s="13"/>
      <c r="J64" s="35"/>
      <c r="K64" s="34"/>
      <c r="L64" s="34"/>
      <c r="M64" s="35"/>
      <c r="N64" s="35"/>
      <c r="O64" s="35"/>
      <c r="P64" s="35"/>
      <c r="Q64" s="35"/>
      <c r="R64" s="35"/>
      <c r="S64" s="34"/>
    </row>
    <row r="65">
      <c r="A65" s="1" t="s">
        <v>377</v>
      </c>
      <c r="B65" s="12" t="s">
        <v>378</v>
      </c>
      <c r="C65" s="1" t="s">
        <v>611</v>
      </c>
      <c r="D65" s="12" t="s">
        <v>611</v>
      </c>
      <c r="E65" s="1" t="s">
        <v>196</v>
      </c>
      <c r="F65" s="1" t="s">
        <v>614</v>
      </c>
      <c r="G65" s="1" t="s">
        <v>197</v>
      </c>
      <c r="H65" s="12" t="s">
        <v>589</v>
      </c>
      <c r="I65" s="13"/>
      <c r="J65" s="35"/>
      <c r="K65" s="34"/>
      <c r="L65" s="34"/>
      <c r="M65" s="35"/>
      <c r="N65" s="35"/>
      <c r="O65" s="35"/>
      <c r="P65" s="35"/>
      <c r="Q65" s="35"/>
      <c r="R65" s="35"/>
      <c r="S65" s="34"/>
    </row>
    <row r="66">
      <c r="A66" s="1" t="s">
        <v>379</v>
      </c>
      <c r="B66" s="12" t="s">
        <v>380</v>
      </c>
      <c r="C66" s="1" t="s">
        <v>611</v>
      </c>
      <c r="D66" s="12" t="s">
        <v>611</v>
      </c>
      <c r="E66" s="1" t="s">
        <v>196</v>
      </c>
      <c r="F66" s="1" t="s">
        <v>614</v>
      </c>
      <c r="G66" s="1" t="s">
        <v>197</v>
      </c>
      <c r="H66" s="12" t="s">
        <v>589</v>
      </c>
      <c r="I66" s="13"/>
      <c r="J66" s="35"/>
      <c r="K66" s="34"/>
      <c r="L66" s="34"/>
      <c r="M66" s="35"/>
      <c r="N66" s="35"/>
      <c r="O66" s="35"/>
      <c r="P66" s="35"/>
      <c r="Q66" s="35"/>
      <c r="R66" s="35"/>
      <c r="S66" s="34"/>
    </row>
    <row r="67">
      <c r="A67" s="1" t="s">
        <v>381</v>
      </c>
      <c r="B67" s="12" t="s">
        <v>382</v>
      </c>
      <c r="C67" s="1" t="s">
        <v>611</v>
      </c>
      <c r="D67" s="12" t="s">
        <v>611</v>
      </c>
      <c r="E67" s="1" t="s">
        <v>196</v>
      </c>
      <c r="F67" s="1" t="s">
        <v>614</v>
      </c>
      <c r="G67" s="1" t="s">
        <v>197</v>
      </c>
      <c r="H67" s="12" t="s">
        <v>589</v>
      </c>
      <c r="I67" s="13"/>
      <c r="J67" s="35"/>
      <c r="K67" s="34"/>
      <c r="L67" s="34"/>
      <c r="M67" s="35"/>
      <c r="N67" s="35"/>
      <c r="O67" s="35"/>
      <c r="P67" s="35"/>
      <c r="Q67" s="35"/>
      <c r="R67" s="35"/>
      <c r="S67" s="34"/>
    </row>
    <row r="68">
      <c r="A68" s="1" t="s">
        <v>383</v>
      </c>
      <c r="B68" s="12" t="s">
        <v>384</v>
      </c>
      <c r="C68" s="1" t="s">
        <v>611</v>
      </c>
      <c r="D68" s="12" t="s">
        <v>611</v>
      </c>
      <c r="E68" s="1" t="s">
        <v>196</v>
      </c>
      <c r="F68" s="1" t="s">
        <v>614</v>
      </c>
      <c r="G68" s="1" t="s">
        <v>197</v>
      </c>
      <c r="H68" s="12" t="s">
        <v>589</v>
      </c>
      <c r="I68" s="13"/>
      <c r="J68" s="35"/>
      <c r="K68" s="34"/>
      <c r="L68" s="34"/>
      <c r="M68" s="35"/>
      <c r="N68" s="35"/>
      <c r="O68" s="35"/>
      <c r="P68" s="35"/>
      <c r="Q68" s="35"/>
      <c r="R68" s="35"/>
      <c r="S68" s="34"/>
    </row>
    <row r="69">
      <c r="A69" s="1" t="s">
        <v>385</v>
      </c>
      <c r="B69" s="12" t="s">
        <v>386</v>
      </c>
      <c r="C69" s="1" t="s">
        <v>617</v>
      </c>
      <c r="E69" s="1" t="s">
        <v>196</v>
      </c>
      <c r="F69" s="1" t="s">
        <v>614</v>
      </c>
      <c r="G69" s="1" t="s">
        <v>197</v>
      </c>
      <c r="H69" s="12" t="s">
        <v>615</v>
      </c>
      <c r="I69" s="13"/>
      <c r="J69" s="35"/>
      <c r="K69" s="34"/>
      <c r="L69" s="34"/>
      <c r="M69" s="35"/>
      <c r="N69" s="35"/>
      <c r="O69" s="35"/>
      <c r="P69" s="35"/>
      <c r="Q69" s="35"/>
      <c r="R69" s="35"/>
      <c r="S69" s="34"/>
    </row>
    <row r="70">
      <c r="A70" s="1" t="s">
        <v>387</v>
      </c>
      <c r="B70" s="12" t="s">
        <v>388</v>
      </c>
      <c r="C70" s="1" t="s">
        <v>617</v>
      </c>
      <c r="E70" s="1" t="s">
        <v>196</v>
      </c>
      <c r="F70" s="1" t="s">
        <v>614</v>
      </c>
      <c r="G70" s="1" t="s">
        <v>197</v>
      </c>
      <c r="H70" s="12" t="s">
        <v>615</v>
      </c>
      <c r="I70" s="13"/>
      <c r="J70" s="35"/>
      <c r="K70" s="34"/>
      <c r="L70" s="34"/>
      <c r="M70" s="35"/>
      <c r="N70" s="35"/>
      <c r="O70" s="35"/>
      <c r="P70" s="35"/>
      <c r="Q70" s="35"/>
      <c r="R70" s="35"/>
      <c r="S70" s="34"/>
    </row>
    <row r="71">
      <c r="A71" s="1" t="s">
        <v>389</v>
      </c>
      <c r="B71" s="12" t="s">
        <v>390</v>
      </c>
      <c r="C71" s="1" t="s">
        <v>611</v>
      </c>
      <c r="D71" s="12" t="s">
        <v>611</v>
      </c>
      <c r="E71" s="1" t="s">
        <v>196</v>
      </c>
      <c r="F71" s="1" t="s">
        <v>614</v>
      </c>
      <c r="G71" s="1" t="s">
        <v>197</v>
      </c>
      <c r="H71" s="12" t="s">
        <v>589</v>
      </c>
      <c r="I71" s="13"/>
      <c r="J71" s="35"/>
      <c r="K71" s="34"/>
      <c r="L71" s="34"/>
      <c r="M71" s="35"/>
      <c r="N71" s="35"/>
      <c r="O71" s="35"/>
      <c r="P71" s="35"/>
      <c r="Q71" s="35"/>
      <c r="R71" s="35"/>
      <c r="S71" s="34"/>
    </row>
    <row r="72">
      <c r="A72" s="1" t="s">
        <v>391</v>
      </c>
      <c r="B72" s="12" t="s">
        <v>392</v>
      </c>
      <c r="C72" s="1" t="s">
        <v>611</v>
      </c>
      <c r="D72" s="12" t="s">
        <v>611</v>
      </c>
      <c r="E72" s="1" t="s">
        <v>196</v>
      </c>
      <c r="F72" s="1" t="s">
        <v>614</v>
      </c>
      <c r="G72" s="1" t="s">
        <v>197</v>
      </c>
      <c r="H72" s="12" t="s">
        <v>589</v>
      </c>
      <c r="I72" s="13"/>
      <c r="J72" s="35"/>
      <c r="K72" s="34"/>
      <c r="L72" s="34"/>
      <c r="M72" s="35"/>
      <c r="N72" s="35"/>
      <c r="O72" s="35"/>
      <c r="P72" s="35"/>
      <c r="Q72" s="35"/>
      <c r="R72" s="35"/>
      <c r="S72" s="34"/>
    </row>
    <row r="73">
      <c r="A73" s="1" t="s">
        <v>393</v>
      </c>
      <c r="B73" s="12" t="s">
        <v>394</v>
      </c>
      <c r="C73" s="1" t="s">
        <v>611</v>
      </c>
      <c r="D73" s="12" t="s">
        <v>611</v>
      </c>
      <c r="E73" s="1" t="s">
        <v>196</v>
      </c>
      <c r="F73" s="1" t="s">
        <v>614</v>
      </c>
      <c r="G73" s="1" t="s">
        <v>197</v>
      </c>
      <c r="H73" s="12" t="s">
        <v>589</v>
      </c>
      <c r="I73" s="13"/>
      <c r="J73" s="35"/>
      <c r="K73" s="34"/>
      <c r="L73" s="34"/>
      <c r="M73" s="35"/>
      <c r="N73" s="35"/>
      <c r="O73" s="35"/>
      <c r="P73" s="35"/>
      <c r="Q73" s="35"/>
      <c r="R73" s="35"/>
      <c r="S73" s="34"/>
    </row>
    <row r="74">
      <c r="A74" s="1" t="s">
        <v>395</v>
      </c>
      <c r="B74" s="12" t="s">
        <v>396</v>
      </c>
      <c r="C74" s="1" t="s">
        <v>611</v>
      </c>
      <c r="D74" s="12" t="s">
        <v>611</v>
      </c>
      <c r="E74" s="1" t="s">
        <v>196</v>
      </c>
      <c r="F74" s="1" t="s">
        <v>614</v>
      </c>
      <c r="G74" s="1" t="s">
        <v>197</v>
      </c>
      <c r="H74" s="12" t="s">
        <v>589</v>
      </c>
      <c r="I74" s="13"/>
      <c r="J74" s="35"/>
      <c r="K74" s="34"/>
      <c r="L74" s="34"/>
      <c r="M74" s="35"/>
      <c r="N74" s="35"/>
      <c r="O74" s="35"/>
      <c r="P74" s="35"/>
      <c r="Q74" s="35"/>
      <c r="R74" s="35"/>
      <c r="S74" s="34"/>
    </row>
    <row r="75">
      <c r="A75" s="1" t="s">
        <v>397</v>
      </c>
      <c r="B75" s="12" t="s">
        <v>398</v>
      </c>
      <c r="C75" s="1" t="s">
        <v>611</v>
      </c>
      <c r="D75" s="12" t="s">
        <v>611</v>
      </c>
      <c r="E75" s="1" t="s">
        <v>196</v>
      </c>
      <c r="F75" s="1" t="s">
        <v>614</v>
      </c>
      <c r="G75" s="1" t="s">
        <v>197</v>
      </c>
      <c r="H75" s="12" t="s">
        <v>589</v>
      </c>
      <c r="I75" s="13"/>
      <c r="J75" s="35"/>
      <c r="K75" s="34"/>
      <c r="L75" s="34"/>
      <c r="M75" s="35"/>
      <c r="N75" s="35"/>
      <c r="O75" s="35"/>
      <c r="P75" s="35"/>
      <c r="Q75" s="35"/>
      <c r="R75" s="35"/>
      <c r="S75" s="34"/>
    </row>
    <row r="76">
      <c r="A76" s="1" t="s">
        <v>399</v>
      </c>
      <c r="B76" s="12" t="s">
        <v>400</v>
      </c>
      <c r="C76" s="1" t="s">
        <v>611</v>
      </c>
      <c r="D76" s="12" t="s">
        <v>611</v>
      </c>
      <c r="E76" s="1" t="s">
        <v>196</v>
      </c>
      <c r="F76" s="1" t="s">
        <v>614</v>
      </c>
      <c r="G76" s="1" t="s">
        <v>197</v>
      </c>
      <c r="H76" s="12" t="s">
        <v>589</v>
      </c>
      <c r="I76" s="13"/>
      <c r="J76" s="35"/>
      <c r="K76" s="34"/>
      <c r="L76" s="34"/>
      <c r="M76" s="35"/>
      <c r="N76" s="35"/>
      <c r="O76" s="35"/>
      <c r="P76" s="35"/>
      <c r="Q76" s="35"/>
      <c r="R76" s="35"/>
      <c r="S76" s="34"/>
    </row>
    <row r="77">
      <c r="A77" s="1" t="s">
        <v>401</v>
      </c>
      <c r="B77" s="12" t="s">
        <v>402</v>
      </c>
      <c r="C77" s="1" t="s">
        <v>611</v>
      </c>
      <c r="D77" s="12" t="s">
        <v>611</v>
      </c>
      <c r="E77" s="1" t="s">
        <v>196</v>
      </c>
      <c r="F77" s="1" t="s">
        <v>614</v>
      </c>
      <c r="G77" s="1" t="s">
        <v>197</v>
      </c>
      <c r="H77" s="12" t="s">
        <v>589</v>
      </c>
      <c r="I77" s="13"/>
      <c r="J77" s="35"/>
      <c r="K77" s="34"/>
      <c r="L77" s="34"/>
      <c r="M77" s="35"/>
      <c r="N77" s="35"/>
      <c r="O77" s="35"/>
      <c r="P77" s="35"/>
      <c r="Q77" s="35"/>
      <c r="R77" s="35"/>
      <c r="S77" s="34"/>
    </row>
    <row r="78">
      <c r="A78" s="1" t="s">
        <v>403</v>
      </c>
      <c r="B78" s="12" t="s">
        <v>404</v>
      </c>
      <c r="C78" s="1" t="s">
        <v>611</v>
      </c>
      <c r="D78" s="12" t="s">
        <v>611</v>
      </c>
      <c r="E78" s="1" t="s">
        <v>196</v>
      </c>
      <c r="F78" s="1" t="s">
        <v>614</v>
      </c>
      <c r="G78" s="1" t="s">
        <v>197</v>
      </c>
      <c r="H78" s="12" t="s">
        <v>589</v>
      </c>
      <c r="I78" s="13"/>
      <c r="J78" s="35"/>
      <c r="K78" s="34"/>
      <c r="L78" s="34"/>
      <c r="M78" s="35"/>
      <c r="N78" s="35"/>
      <c r="O78" s="35"/>
      <c r="P78" s="35"/>
      <c r="Q78" s="35"/>
      <c r="R78" s="35"/>
      <c r="S78" s="34"/>
    </row>
    <row r="79">
      <c r="A79" s="1" t="s">
        <v>405</v>
      </c>
      <c r="B79" s="12" t="s">
        <v>406</v>
      </c>
      <c r="C79" s="1" t="s">
        <v>611</v>
      </c>
      <c r="D79" s="12" t="s">
        <v>611</v>
      </c>
      <c r="E79" s="1" t="s">
        <v>196</v>
      </c>
      <c r="F79" s="1" t="s">
        <v>614</v>
      </c>
      <c r="G79" s="1" t="s">
        <v>197</v>
      </c>
      <c r="H79" s="12" t="s">
        <v>589</v>
      </c>
      <c r="I79" s="13"/>
      <c r="J79" s="35"/>
      <c r="K79" s="34"/>
      <c r="L79" s="34"/>
      <c r="M79" s="35"/>
      <c r="N79" s="35"/>
      <c r="O79" s="35"/>
      <c r="P79" s="35"/>
      <c r="Q79" s="35"/>
      <c r="R79" s="35"/>
      <c r="S79" s="34"/>
    </row>
    <row r="80">
      <c r="A80" s="1" t="s">
        <v>407</v>
      </c>
      <c r="B80" s="12" t="s">
        <v>408</v>
      </c>
      <c r="C80" s="1" t="s">
        <v>611</v>
      </c>
      <c r="D80" s="12" t="s">
        <v>611</v>
      </c>
      <c r="E80" s="1" t="s">
        <v>196</v>
      </c>
      <c r="F80" s="1" t="s">
        <v>614</v>
      </c>
      <c r="G80" s="1" t="s">
        <v>197</v>
      </c>
      <c r="H80" s="12" t="s">
        <v>615</v>
      </c>
      <c r="I80" s="13"/>
      <c r="J80" s="35"/>
      <c r="K80" s="34"/>
      <c r="L80" s="34"/>
      <c r="M80" s="35"/>
      <c r="N80" s="35"/>
      <c r="O80" s="35"/>
      <c r="P80" s="35"/>
      <c r="Q80" s="35"/>
      <c r="R80" s="35"/>
      <c r="S80" s="34"/>
    </row>
    <row r="81">
      <c r="A81" s="1" t="s">
        <v>410</v>
      </c>
      <c r="B81" s="12" t="s">
        <v>411</v>
      </c>
      <c r="C81" s="1" t="s">
        <v>611</v>
      </c>
      <c r="D81" s="12" t="s">
        <v>611</v>
      </c>
      <c r="E81" s="1" t="s">
        <v>196</v>
      </c>
      <c r="F81" s="1" t="s">
        <v>614</v>
      </c>
      <c r="G81" s="1" t="s">
        <v>197</v>
      </c>
      <c r="H81" s="12" t="s">
        <v>565</v>
      </c>
      <c r="I81" s="13"/>
      <c r="J81" s="35"/>
      <c r="K81" s="34"/>
      <c r="L81" s="34"/>
      <c r="M81" s="35"/>
      <c r="N81" s="35"/>
      <c r="O81" s="35"/>
      <c r="P81" s="35"/>
      <c r="Q81" s="35"/>
      <c r="R81" s="35"/>
      <c r="S81" s="34"/>
    </row>
    <row r="82">
      <c r="A82" s="1" t="s">
        <v>414</v>
      </c>
      <c r="B82" s="12" t="s">
        <v>415</v>
      </c>
      <c r="C82" s="1" t="s">
        <v>612</v>
      </c>
      <c r="D82" s="12" t="s">
        <v>612</v>
      </c>
      <c r="E82" s="1" t="s">
        <v>196</v>
      </c>
      <c r="F82" s="1" t="s">
        <v>614</v>
      </c>
      <c r="G82" s="1" t="s">
        <v>197</v>
      </c>
      <c r="H82" s="12" t="s">
        <v>565</v>
      </c>
      <c r="I82" s="13"/>
      <c r="J82" s="35"/>
      <c r="K82" s="34"/>
      <c r="L82" s="34"/>
      <c r="M82" s="35"/>
      <c r="N82" s="35"/>
      <c r="O82" s="35"/>
      <c r="P82" s="35"/>
      <c r="Q82" s="35"/>
      <c r="R82" s="35"/>
      <c r="S82" s="34"/>
    </row>
    <row r="83">
      <c r="A83" s="1" t="s">
        <v>416</v>
      </c>
      <c r="B83" s="12" t="s">
        <v>417</v>
      </c>
      <c r="C83" s="1" t="s">
        <v>612</v>
      </c>
      <c r="D83" s="12" t="s">
        <v>612</v>
      </c>
      <c r="E83" s="1" t="s">
        <v>196</v>
      </c>
      <c r="F83" s="1" t="s">
        <v>614</v>
      </c>
      <c r="G83" s="1" t="s">
        <v>197</v>
      </c>
      <c r="H83" s="12" t="s">
        <v>565</v>
      </c>
      <c r="I83" s="13"/>
      <c r="J83" s="35"/>
      <c r="K83" s="34"/>
      <c r="L83" s="34"/>
      <c r="M83" s="35"/>
      <c r="N83" s="35"/>
      <c r="O83" s="35"/>
      <c r="P83" s="35"/>
      <c r="Q83" s="35"/>
      <c r="R83" s="35"/>
      <c r="S83" s="34"/>
    </row>
    <row r="84">
      <c r="A84" s="1" t="s">
        <v>419</v>
      </c>
      <c r="B84" s="12" t="s">
        <v>420</v>
      </c>
      <c r="C84" s="1" t="s">
        <v>612</v>
      </c>
      <c r="D84" s="12" t="s">
        <v>612</v>
      </c>
      <c r="E84" s="1" t="s">
        <v>196</v>
      </c>
      <c r="F84" s="1" t="s">
        <v>614</v>
      </c>
      <c r="G84" s="1" t="s">
        <v>197</v>
      </c>
      <c r="H84" s="12" t="s">
        <v>565</v>
      </c>
      <c r="I84" s="13"/>
      <c r="J84" s="35"/>
      <c r="K84" s="34"/>
      <c r="L84" s="34"/>
      <c r="M84" s="35"/>
      <c r="N84" s="35"/>
      <c r="O84" s="35"/>
      <c r="P84" s="35"/>
      <c r="Q84" s="35"/>
      <c r="R84" s="35"/>
      <c r="S84" s="34"/>
    </row>
    <row r="85">
      <c r="A85" s="1" t="s">
        <v>421</v>
      </c>
      <c r="B85" s="12" t="s">
        <v>422</v>
      </c>
      <c r="C85" s="1" t="s">
        <v>612</v>
      </c>
      <c r="D85" s="12" t="s">
        <v>612</v>
      </c>
      <c r="E85" s="1" t="s">
        <v>196</v>
      </c>
      <c r="F85" s="1" t="s">
        <v>614</v>
      </c>
      <c r="G85" s="1" t="s">
        <v>197</v>
      </c>
      <c r="H85" s="12" t="s">
        <v>565</v>
      </c>
      <c r="I85" s="13"/>
      <c r="J85" s="35"/>
      <c r="K85" s="34"/>
      <c r="L85" s="34"/>
      <c r="M85" s="35"/>
      <c r="N85" s="35"/>
      <c r="O85" s="35"/>
      <c r="P85" s="35"/>
      <c r="Q85" s="35"/>
      <c r="R85" s="35"/>
      <c r="S85" s="34"/>
    </row>
    <row r="86">
      <c r="A86" s="1" t="s">
        <v>424</v>
      </c>
      <c r="B86" s="12" t="s">
        <v>425</v>
      </c>
      <c r="C86" s="1" t="s">
        <v>612</v>
      </c>
      <c r="D86" s="12" t="s">
        <v>612</v>
      </c>
      <c r="E86" s="1" t="s">
        <v>196</v>
      </c>
      <c r="F86" s="1" t="s">
        <v>614</v>
      </c>
      <c r="G86" s="1" t="s">
        <v>197</v>
      </c>
      <c r="H86" s="12" t="s">
        <v>565</v>
      </c>
      <c r="I86" s="13"/>
      <c r="J86" s="35"/>
      <c r="K86" s="34"/>
      <c r="L86" s="34"/>
      <c r="M86" s="35"/>
      <c r="N86" s="35"/>
      <c r="O86" s="35"/>
      <c r="P86" s="35"/>
      <c r="Q86" s="35"/>
      <c r="R86" s="35"/>
      <c r="S86" s="34"/>
    </row>
    <row r="87">
      <c r="A87" s="1" t="s">
        <v>427</v>
      </c>
      <c r="B87" s="12" t="s">
        <v>428</v>
      </c>
      <c r="C87" s="1" t="s">
        <v>612</v>
      </c>
      <c r="D87" s="12" t="s">
        <v>612</v>
      </c>
      <c r="E87" s="1" t="s">
        <v>196</v>
      </c>
      <c r="F87" s="1" t="s">
        <v>614</v>
      </c>
      <c r="G87" s="1" t="s">
        <v>197</v>
      </c>
      <c r="H87" s="12" t="s">
        <v>615</v>
      </c>
      <c r="I87" s="13"/>
      <c r="J87" s="35"/>
      <c r="K87" s="34"/>
      <c r="L87" s="34"/>
      <c r="M87" s="35"/>
      <c r="N87" s="35"/>
      <c r="O87" s="35"/>
      <c r="P87" s="35"/>
      <c r="Q87" s="35"/>
      <c r="R87" s="35"/>
      <c r="S87" s="34"/>
    </row>
    <row r="88">
      <c r="A88" s="1" t="s">
        <v>430</v>
      </c>
      <c r="B88" s="12" t="s">
        <v>431</v>
      </c>
      <c r="C88" s="1" t="s">
        <v>612</v>
      </c>
      <c r="D88" s="12" t="s">
        <v>612</v>
      </c>
      <c r="E88" s="1" t="s">
        <v>196</v>
      </c>
      <c r="F88" s="1" t="s">
        <v>614</v>
      </c>
      <c r="G88" s="1" t="s">
        <v>197</v>
      </c>
      <c r="H88" s="12" t="s">
        <v>565</v>
      </c>
      <c r="I88" s="13"/>
      <c r="J88" s="35"/>
      <c r="K88" s="34"/>
      <c r="L88" s="34"/>
      <c r="M88" s="35"/>
      <c r="N88" s="35"/>
      <c r="O88" s="35"/>
      <c r="P88" s="35"/>
      <c r="Q88" s="35"/>
      <c r="R88" s="35"/>
      <c r="S88" s="34"/>
    </row>
    <row r="89">
      <c r="A89" s="1" t="s">
        <v>432</v>
      </c>
      <c r="B89" s="12" t="s">
        <v>433</v>
      </c>
      <c r="C89" s="1" t="s">
        <v>612</v>
      </c>
      <c r="D89" s="12" t="s">
        <v>612</v>
      </c>
      <c r="E89" s="1" t="s">
        <v>196</v>
      </c>
      <c r="F89" s="1" t="s">
        <v>614</v>
      </c>
      <c r="G89" s="1" t="s">
        <v>197</v>
      </c>
      <c r="H89" s="12" t="s">
        <v>565</v>
      </c>
      <c r="I89" s="13"/>
      <c r="J89" s="35"/>
      <c r="K89" s="34"/>
      <c r="L89" s="34"/>
      <c r="M89" s="35"/>
      <c r="N89" s="35"/>
      <c r="O89" s="35"/>
      <c r="P89" s="35"/>
      <c r="Q89" s="35"/>
      <c r="R89" s="35"/>
      <c r="S89" s="34"/>
    </row>
    <row r="90">
      <c r="A90" s="1" t="s">
        <v>434</v>
      </c>
      <c r="B90" s="12" t="s">
        <v>435</v>
      </c>
      <c r="C90" s="1" t="s">
        <v>598</v>
      </c>
      <c r="D90" s="12" t="s">
        <v>598</v>
      </c>
      <c r="E90" s="1" t="s">
        <v>196</v>
      </c>
      <c r="F90" s="1" t="s">
        <v>614</v>
      </c>
      <c r="G90" s="1" t="s">
        <v>197</v>
      </c>
      <c r="H90" s="12" t="s">
        <v>589</v>
      </c>
      <c r="I90" s="13"/>
      <c r="J90" s="35"/>
      <c r="K90" s="34"/>
      <c r="L90" s="34"/>
      <c r="M90" s="35"/>
      <c r="N90" s="35"/>
      <c r="O90" s="35"/>
      <c r="P90" s="35"/>
      <c r="Q90" s="35"/>
      <c r="R90" s="35"/>
      <c r="S90" s="34"/>
    </row>
    <row r="91">
      <c r="A91" s="1" t="s">
        <v>437</v>
      </c>
      <c r="B91" s="12" t="s">
        <v>438</v>
      </c>
      <c r="C91" s="1" t="s">
        <v>598</v>
      </c>
      <c r="D91" s="12" t="s">
        <v>598</v>
      </c>
      <c r="E91" s="1" t="s">
        <v>196</v>
      </c>
      <c r="F91" s="1" t="s">
        <v>614</v>
      </c>
      <c r="G91" s="1" t="s">
        <v>197</v>
      </c>
      <c r="H91" s="12" t="s">
        <v>589</v>
      </c>
      <c r="I91" s="13"/>
      <c r="J91" s="35"/>
      <c r="K91" s="34"/>
      <c r="L91" s="34"/>
      <c r="M91" s="35"/>
      <c r="N91" s="35"/>
      <c r="O91" s="35"/>
      <c r="P91" s="35"/>
      <c r="Q91" s="35"/>
      <c r="R91" s="35"/>
      <c r="S91" s="34"/>
    </row>
    <row r="92">
      <c r="A92" s="1" t="s">
        <v>439</v>
      </c>
      <c r="B92" s="12" t="s">
        <v>440</v>
      </c>
      <c r="C92" s="1" t="s">
        <v>598</v>
      </c>
      <c r="D92" s="12" t="s">
        <v>598</v>
      </c>
      <c r="E92" s="1" t="s">
        <v>196</v>
      </c>
      <c r="F92" s="1" t="s">
        <v>614</v>
      </c>
      <c r="G92" s="1" t="s">
        <v>197</v>
      </c>
      <c r="H92" s="12" t="s">
        <v>589</v>
      </c>
      <c r="I92" s="13"/>
      <c r="J92" s="35"/>
      <c r="K92" s="34"/>
      <c r="L92" s="34"/>
      <c r="M92" s="35"/>
      <c r="N92" s="35"/>
      <c r="O92" s="35"/>
      <c r="P92" s="35"/>
      <c r="Q92" s="35"/>
      <c r="R92" s="35"/>
      <c r="S92" s="34"/>
    </row>
    <row r="93">
      <c r="A93" s="1" t="s">
        <v>441</v>
      </c>
      <c r="B93" s="12" t="s">
        <v>442</v>
      </c>
      <c r="C93" s="1" t="s">
        <v>598</v>
      </c>
      <c r="D93" s="12" t="s">
        <v>598</v>
      </c>
      <c r="E93" s="1" t="s">
        <v>196</v>
      </c>
      <c r="F93" s="1" t="s">
        <v>614</v>
      </c>
      <c r="G93" s="1" t="s">
        <v>197</v>
      </c>
      <c r="H93" s="12" t="s">
        <v>589</v>
      </c>
      <c r="I93" s="13"/>
      <c r="J93" s="35"/>
      <c r="K93" s="34"/>
      <c r="L93" s="34"/>
      <c r="M93" s="35"/>
      <c r="N93" s="35"/>
      <c r="O93" s="35"/>
      <c r="P93" s="35"/>
      <c r="Q93" s="35"/>
      <c r="R93" s="35"/>
      <c r="S93" s="34"/>
    </row>
    <row r="94">
      <c r="A94" s="1" t="s">
        <v>444</v>
      </c>
      <c r="B94" s="12" t="s">
        <v>445</v>
      </c>
      <c r="C94" s="1" t="s">
        <v>611</v>
      </c>
      <c r="D94" s="12" t="s">
        <v>611</v>
      </c>
      <c r="E94" s="1" t="s">
        <v>196</v>
      </c>
      <c r="F94" s="1" t="s">
        <v>614</v>
      </c>
      <c r="G94" s="1" t="s">
        <v>197</v>
      </c>
      <c r="H94" s="12" t="s">
        <v>615</v>
      </c>
      <c r="I94" s="13"/>
      <c r="J94" s="35"/>
      <c r="K94" s="34"/>
      <c r="L94" s="34"/>
      <c r="M94" s="35"/>
      <c r="N94" s="35"/>
      <c r="O94" s="35"/>
      <c r="P94" s="35"/>
      <c r="Q94" s="35"/>
      <c r="R94" s="35"/>
      <c r="S94" s="34"/>
    </row>
    <row r="95">
      <c r="A95" s="1" t="s">
        <v>447</v>
      </c>
      <c r="B95" s="12" t="s">
        <v>448</v>
      </c>
      <c r="C95" s="1" t="s">
        <v>598</v>
      </c>
      <c r="D95" s="12" t="s">
        <v>598</v>
      </c>
      <c r="E95" s="1" t="s">
        <v>196</v>
      </c>
      <c r="F95" s="1" t="s">
        <v>614</v>
      </c>
      <c r="G95" s="1" t="s">
        <v>197</v>
      </c>
      <c r="H95" s="12" t="s">
        <v>589</v>
      </c>
      <c r="I95" s="13"/>
      <c r="J95" s="35"/>
      <c r="K95" s="34"/>
      <c r="L95" s="34"/>
      <c r="M95" s="35"/>
      <c r="N95" s="35"/>
      <c r="O95" s="35"/>
      <c r="P95" s="35"/>
      <c r="Q95" s="35"/>
      <c r="R95" s="35"/>
      <c r="S95" s="34"/>
    </row>
    <row r="96">
      <c r="A96" s="1" t="s">
        <v>586</v>
      </c>
      <c r="B96" s="1" t="s">
        <v>17</v>
      </c>
      <c r="C96" s="1" t="s">
        <v>598</v>
      </c>
      <c r="D96" s="12" t="s">
        <v>598</v>
      </c>
      <c r="E96" s="1" t="s">
        <v>196</v>
      </c>
      <c r="F96" s="1" t="s">
        <v>614</v>
      </c>
      <c r="G96" s="1" t="s">
        <v>197</v>
      </c>
      <c r="H96" s="12" t="s">
        <v>589</v>
      </c>
      <c r="I96" s="13"/>
      <c r="J96" s="35"/>
      <c r="K96" s="34"/>
      <c r="L96" s="34"/>
      <c r="M96" s="35"/>
      <c r="N96" s="35"/>
      <c r="O96" s="35"/>
      <c r="P96" s="35"/>
      <c r="Q96" s="35"/>
      <c r="R96" s="35"/>
      <c r="S96" s="34"/>
    </row>
    <row r="97">
      <c r="A97" s="1" t="s">
        <v>454</v>
      </c>
      <c r="B97" s="12" t="s">
        <v>174</v>
      </c>
      <c r="C97" s="1" t="s">
        <v>598</v>
      </c>
      <c r="D97" s="12" t="s">
        <v>598</v>
      </c>
      <c r="E97" s="1" t="s">
        <v>196</v>
      </c>
      <c r="F97" s="1" t="s">
        <v>614</v>
      </c>
      <c r="G97" s="1" t="s">
        <v>197</v>
      </c>
      <c r="H97" s="12" t="s">
        <v>589</v>
      </c>
      <c r="I97" s="15">
        <v>45879.0</v>
      </c>
      <c r="J97" s="35"/>
      <c r="K97" s="34"/>
      <c r="L97" s="34"/>
      <c r="M97" s="35"/>
      <c r="N97" s="35"/>
      <c r="O97" s="35"/>
      <c r="P97" s="35"/>
      <c r="Q97" s="35"/>
      <c r="R97" s="35"/>
      <c r="S97" s="34"/>
    </row>
    <row r="98">
      <c r="A98" s="1" t="s">
        <v>457</v>
      </c>
      <c r="B98" s="12" t="s">
        <v>156</v>
      </c>
      <c r="C98" s="1" t="s">
        <v>611</v>
      </c>
      <c r="D98" s="12" t="s">
        <v>611</v>
      </c>
      <c r="E98" s="1" t="s">
        <v>196</v>
      </c>
      <c r="F98" s="1" t="s">
        <v>566</v>
      </c>
      <c r="G98" s="1" t="s">
        <v>197</v>
      </c>
      <c r="H98" s="12" t="s">
        <v>589</v>
      </c>
      <c r="I98" s="13"/>
      <c r="J98" s="35"/>
      <c r="K98" s="34"/>
      <c r="L98" s="34"/>
      <c r="M98" s="35"/>
      <c r="N98" s="35"/>
      <c r="O98" s="35"/>
      <c r="P98" s="35"/>
      <c r="Q98" s="35"/>
      <c r="R98" s="35"/>
      <c r="S98" s="34"/>
    </row>
    <row r="99">
      <c r="A99" s="1" t="s">
        <v>459</v>
      </c>
      <c r="B99" s="12" t="s">
        <v>460</v>
      </c>
      <c r="C99" s="1" t="s">
        <v>611</v>
      </c>
      <c r="D99" s="12" t="s">
        <v>611</v>
      </c>
      <c r="E99" s="1" t="s">
        <v>196</v>
      </c>
      <c r="F99" s="1" t="s">
        <v>566</v>
      </c>
      <c r="G99" s="1" t="s">
        <v>197</v>
      </c>
      <c r="H99" s="12" t="s">
        <v>589</v>
      </c>
      <c r="I99" s="13"/>
      <c r="J99" s="35"/>
      <c r="K99" s="34"/>
      <c r="L99" s="34"/>
      <c r="M99" s="35"/>
      <c r="N99" s="35"/>
      <c r="O99" s="35"/>
      <c r="P99" s="35"/>
      <c r="Q99" s="35"/>
      <c r="R99" s="35"/>
      <c r="S99" s="34"/>
    </row>
    <row r="100">
      <c r="A100" s="1" t="s">
        <v>462</v>
      </c>
      <c r="B100" s="12" t="s">
        <v>463</v>
      </c>
      <c r="C100" s="1" t="s">
        <v>612</v>
      </c>
      <c r="D100" s="12" t="s">
        <v>612</v>
      </c>
      <c r="E100" s="1" t="s">
        <v>196</v>
      </c>
      <c r="F100" s="1" t="s">
        <v>614</v>
      </c>
      <c r="G100" s="1" t="s">
        <v>197</v>
      </c>
      <c r="H100" s="12" t="s">
        <v>565</v>
      </c>
      <c r="I100" s="13"/>
      <c r="J100" s="35"/>
      <c r="K100" s="34"/>
      <c r="L100" s="34"/>
      <c r="M100" s="35"/>
      <c r="N100" s="35"/>
      <c r="O100" s="35"/>
      <c r="P100" s="35"/>
      <c r="Q100" s="35"/>
      <c r="R100" s="35"/>
      <c r="S100" s="34"/>
    </row>
    <row r="101">
      <c r="A101" s="1" t="s">
        <v>465</v>
      </c>
      <c r="B101" s="12" t="s">
        <v>466</v>
      </c>
      <c r="C101" s="1" t="s">
        <v>612</v>
      </c>
      <c r="D101" s="12" t="s">
        <v>612</v>
      </c>
      <c r="E101" s="1" t="s">
        <v>196</v>
      </c>
      <c r="F101" s="1" t="s">
        <v>614</v>
      </c>
      <c r="G101" s="1" t="s">
        <v>197</v>
      </c>
      <c r="H101" s="12" t="s">
        <v>565</v>
      </c>
      <c r="I101" s="13"/>
      <c r="J101" s="35"/>
      <c r="K101" s="34"/>
      <c r="L101" s="34"/>
      <c r="M101" s="35"/>
      <c r="N101" s="35"/>
      <c r="O101" s="35"/>
      <c r="P101" s="35"/>
      <c r="Q101" s="35"/>
      <c r="R101" s="35"/>
      <c r="S101" s="34"/>
    </row>
    <row r="102">
      <c r="A102" s="1" t="s">
        <v>468</v>
      </c>
      <c r="B102" s="12" t="s">
        <v>469</v>
      </c>
      <c r="C102" s="1" t="s">
        <v>611</v>
      </c>
      <c r="D102" s="12" t="s">
        <v>611</v>
      </c>
      <c r="E102" s="1" t="s">
        <v>196</v>
      </c>
      <c r="F102" s="1" t="s">
        <v>566</v>
      </c>
      <c r="G102" s="1" t="s">
        <v>197</v>
      </c>
      <c r="H102" s="12" t="s">
        <v>589</v>
      </c>
      <c r="I102" s="13"/>
      <c r="J102" s="35"/>
      <c r="K102" s="34"/>
      <c r="L102" s="34"/>
      <c r="M102" s="35"/>
      <c r="N102" s="35"/>
      <c r="O102" s="35"/>
      <c r="P102" s="35"/>
      <c r="Q102" s="35"/>
      <c r="R102" s="35"/>
      <c r="S102" s="34"/>
    </row>
    <row r="103">
      <c r="A103" s="1" t="s">
        <v>470</v>
      </c>
      <c r="B103" s="12" t="s">
        <v>471</v>
      </c>
      <c r="C103" s="1" t="s">
        <v>612</v>
      </c>
      <c r="D103" s="12" t="s">
        <v>612</v>
      </c>
      <c r="E103" s="1" t="s">
        <v>196</v>
      </c>
      <c r="F103" s="1" t="s">
        <v>614</v>
      </c>
      <c r="G103" s="1" t="s">
        <v>197</v>
      </c>
      <c r="H103" s="12" t="s">
        <v>565</v>
      </c>
      <c r="I103" s="13"/>
      <c r="J103" s="35"/>
      <c r="K103" s="34"/>
      <c r="L103" s="34"/>
      <c r="M103" s="35"/>
      <c r="N103" s="35"/>
      <c r="O103" s="35"/>
      <c r="P103" s="35"/>
      <c r="Q103" s="35"/>
      <c r="R103" s="35"/>
      <c r="S103" s="34"/>
    </row>
    <row r="104">
      <c r="A104" s="1" t="s">
        <v>473</v>
      </c>
      <c r="B104" s="12" t="s">
        <v>474</v>
      </c>
      <c r="C104" s="1" t="s">
        <v>612</v>
      </c>
      <c r="D104" s="12" t="s">
        <v>612</v>
      </c>
      <c r="E104" s="1" t="s">
        <v>196</v>
      </c>
      <c r="F104" s="1" t="s">
        <v>614</v>
      </c>
      <c r="G104" s="1" t="s">
        <v>197</v>
      </c>
      <c r="H104" s="12" t="s">
        <v>565</v>
      </c>
      <c r="I104" s="13"/>
      <c r="J104" s="35"/>
      <c r="K104" s="34"/>
      <c r="L104" s="34"/>
      <c r="M104" s="35"/>
      <c r="N104" s="35"/>
      <c r="O104" s="35"/>
      <c r="P104" s="35"/>
      <c r="Q104" s="35"/>
      <c r="R104" s="35"/>
      <c r="S104" s="34"/>
    </row>
    <row r="105">
      <c r="A105" s="1" t="s">
        <v>475</v>
      </c>
      <c r="B105" s="12" t="s">
        <v>476</v>
      </c>
      <c r="C105" s="1" t="s">
        <v>612</v>
      </c>
      <c r="D105" s="12" t="s">
        <v>612</v>
      </c>
      <c r="E105" s="1" t="s">
        <v>196</v>
      </c>
      <c r="F105" s="1" t="s">
        <v>614</v>
      </c>
      <c r="G105" s="1" t="s">
        <v>197</v>
      </c>
      <c r="H105" s="12" t="s">
        <v>565</v>
      </c>
      <c r="I105" s="13"/>
      <c r="J105" s="35"/>
      <c r="K105" s="34"/>
      <c r="L105" s="34"/>
      <c r="M105" s="35"/>
      <c r="N105" s="35"/>
      <c r="O105" s="35"/>
      <c r="P105" s="35"/>
      <c r="Q105" s="35"/>
      <c r="R105" s="35"/>
      <c r="S105" s="34"/>
    </row>
    <row r="106">
      <c r="A106" s="1" t="s">
        <v>478</v>
      </c>
      <c r="B106" s="12" t="s">
        <v>479</v>
      </c>
      <c r="C106" s="1" t="s">
        <v>612</v>
      </c>
      <c r="D106" s="12" t="s">
        <v>612</v>
      </c>
      <c r="E106" s="1" t="s">
        <v>196</v>
      </c>
      <c r="F106" s="1" t="s">
        <v>614</v>
      </c>
      <c r="G106" s="1" t="s">
        <v>197</v>
      </c>
      <c r="H106" s="12" t="s">
        <v>565</v>
      </c>
      <c r="I106" s="13"/>
      <c r="J106" s="35"/>
      <c r="K106" s="34"/>
      <c r="L106" s="34"/>
      <c r="M106" s="35"/>
      <c r="N106" s="35"/>
      <c r="O106" s="35"/>
      <c r="P106" s="35"/>
      <c r="Q106" s="35"/>
      <c r="R106" s="35"/>
      <c r="S106" s="34"/>
    </row>
    <row r="107">
      <c r="A107" s="1" t="s">
        <v>481</v>
      </c>
      <c r="B107" s="12" t="s">
        <v>482</v>
      </c>
      <c r="C107" s="1" t="s">
        <v>612</v>
      </c>
      <c r="D107" s="12" t="s">
        <v>612</v>
      </c>
      <c r="E107" s="1" t="s">
        <v>196</v>
      </c>
      <c r="F107" s="1" t="s">
        <v>614</v>
      </c>
      <c r="G107" s="1" t="s">
        <v>197</v>
      </c>
      <c r="H107" s="12" t="s">
        <v>565</v>
      </c>
      <c r="I107" s="13"/>
      <c r="J107" s="35"/>
      <c r="K107" s="34"/>
      <c r="L107" s="34"/>
      <c r="M107" s="35"/>
      <c r="N107" s="35"/>
      <c r="O107" s="35"/>
      <c r="P107" s="35"/>
      <c r="Q107" s="35"/>
      <c r="R107" s="35"/>
      <c r="S107" s="34"/>
    </row>
    <row r="108">
      <c r="A108" s="1" t="s">
        <v>483</v>
      </c>
      <c r="B108" s="12" t="s">
        <v>484</v>
      </c>
      <c r="C108" s="1" t="s">
        <v>612</v>
      </c>
      <c r="D108" s="12" t="s">
        <v>612</v>
      </c>
      <c r="E108" s="1" t="s">
        <v>196</v>
      </c>
      <c r="F108" s="1" t="s">
        <v>613</v>
      </c>
      <c r="G108" s="1" t="s">
        <v>197</v>
      </c>
      <c r="H108" s="12" t="s">
        <v>565</v>
      </c>
      <c r="I108" s="13"/>
      <c r="J108" s="35"/>
      <c r="K108" s="34"/>
      <c r="L108" s="34"/>
      <c r="M108" s="35"/>
      <c r="N108" s="35"/>
      <c r="O108" s="35"/>
      <c r="P108" s="35"/>
      <c r="Q108" s="35"/>
      <c r="R108" s="35"/>
      <c r="S108" s="34"/>
    </row>
    <row r="109">
      <c r="A109" s="1" t="s">
        <v>486</v>
      </c>
      <c r="B109" s="12" t="s">
        <v>487</v>
      </c>
      <c r="C109" s="1" t="s">
        <v>612</v>
      </c>
      <c r="D109" s="12" t="s">
        <v>612</v>
      </c>
      <c r="E109" s="1" t="s">
        <v>196</v>
      </c>
      <c r="F109" s="1" t="s">
        <v>613</v>
      </c>
      <c r="G109" s="1" t="s">
        <v>197</v>
      </c>
      <c r="H109" s="12" t="s">
        <v>565</v>
      </c>
      <c r="I109" s="13"/>
      <c r="J109" s="35"/>
      <c r="K109" s="34"/>
      <c r="L109" s="34"/>
      <c r="M109" s="35"/>
      <c r="N109" s="35"/>
      <c r="O109" s="35"/>
      <c r="P109" s="35"/>
      <c r="Q109" s="35"/>
      <c r="R109" s="35"/>
      <c r="S109" s="34"/>
    </row>
    <row r="110">
      <c r="A110" s="1" t="s">
        <v>489</v>
      </c>
      <c r="B110" s="12" t="s">
        <v>490</v>
      </c>
      <c r="C110" s="1" t="s">
        <v>612</v>
      </c>
      <c r="D110" s="12" t="s">
        <v>612</v>
      </c>
      <c r="E110" s="1" t="s">
        <v>196</v>
      </c>
      <c r="F110" s="1" t="s">
        <v>614</v>
      </c>
      <c r="G110" s="1" t="s">
        <v>197</v>
      </c>
      <c r="H110" s="12" t="s">
        <v>565</v>
      </c>
      <c r="I110" s="13"/>
      <c r="J110" s="35"/>
      <c r="K110" s="34"/>
      <c r="L110" s="34"/>
      <c r="M110" s="35"/>
      <c r="N110" s="35"/>
      <c r="O110" s="35"/>
      <c r="P110" s="35"/>
      <c r="Q110" s="35"/>
      <c r="R110" s="35"/>
      <c r="S110" s="34"/>
    </row>
    <row r="111">
      <c r="A111" s="1" t="s">
        <v>492</v>
      </c>
      <c r="B111" s="12" t="s">
        <v>493</v>
      </c>
      <c r="C111" s="1" t="s">
        <v>612</v>
      </c>
      <c r="D111" s="12" t="s">
        <v>612</v>
      </c>
      <c r="E111" s="1" t="s">
        <v>196</v>
      </c>
      <c r="F111" s="1" t="s">
        <v>614</v>
      </c>
      <c r="G111" s="1" t="s">
        <v>197</v>
      </c>
      <c r="H111" s="12" t="s">
        <v>565</v>
      </c>
      <c r="I111" s="13"/>
      <c r="J111" s="35"/>
      <c r="K111" s="34"/>
      <c r="L111" s="34"/>
      <c r="M111" s="35"/>
      <c r="N111" s="35"/>
      <c r="O111" s="35"/>
      <c r="P111" s="35"/>
      <c r="Q111" s="35"/>
      <c r="R111" s="35"/>
      <c r="S111" s="34"/>
    </row>
    <row r="112">
      <c r="A112" s="1" t="s">
        <v>495</v>
      </c>
      <c r="B112" s="12" t="s">
        <v>496</v>
      </c>
      <c r="C112" s="1" t="s">
        <v>612</v>
      </c>
      <c r="D112" s="12" t="s">
        <v>612</v>
      </c>
      <c r="E112" s="1" t="s">
        <v>196</v>
      </c>
      <c r="F112" s="1" t="s">
        <v>614</v>
      </c>
      <c r="G112" s="1" t="s">
        <v>197</v>
      </c>
      <c r="H112" s="12" t="s">
        <v>565</v>
      </c>
      <c r="I112" s="13"/>
      <c r="J112" s="35"/>
      <c r="K112" s="34"/>
      <c r="L112" s="34"/>
      <c r="M112" s="35"/>
      <c r="N112" s="35"/>
      <c r="O112" s="35"/>
      <c r="P112" s="35"/>
      <c r="Q112" s="35"/>
      <c r="R112" s="35"/>
      <c r="S112" s="34"/>
    </row>
    <row r="113">
      <c r="A113" s="1" t="s">
        <v>498</v>
      </c>
      <c r="B113" s="12" t="s">
        <v>499</v>
      </c>
      <c r="C113" s="1" t="s">
        <v>612</v>
      </c>
      <c r="D113" s="12" t="s">
        <v>612</v>
      </c>
      <c r="E113" s="1" t="s">
        <v>196</v>
      </c>
      <c r="F113" s="1" t="s">
        <v>614</v>
      </c>
      <c r="G113" s="1" t="s">
        <v>197</v>
      </c>
      <c r="H113" s="12" t="s">
        <v>565</v>
      </c>
      <c r="I113" s="13"/>
      <c r="J113" s="35"/>
      <c r="K113" s="34"/>
      <c r="L113" s="34"/>
      <c r="M113" s="35"/>
      <c r="N113" s="35"/>
      <c r="O113" s="35"/>
      <c r="P113" s="35"/>
      <c r="Q113" s="35"/>
      <c r="R113" s="35"/>
      <c r="S113" s="34"/>
    </row>
    <row r="114">
      <c r="A114" s="1" t="s">
        <v>500</v>
      </c>
      <c r="B114" s="12" t="s">
        <v>501</v>
      </c>
      <c r="C114" s="1" t="s">
        <v>612</v>
      </c>
      <c r="D114" s="12" t="s">
        <v>612</v>
      </c>
      <c r="E114" s="1" t="s">
        <v>196</v>
      </c>
      <c r="F114" s="1" t="s">
        <v>614</v>
      </c>
      <c r="G114" s="1" t="s">
        <v>197</v>
      </c>
      <c r="H114" s="12" t="s">
        <v>565</v>
      </c>
      <c r="I114" s="13"/>
      <c r="J114" s="35"/>
      <c r="K114" s="34"/>
      <c r="L114" s="34"/>
      <c r="M114" s="35"/>
      <c r="N114" s="35"/>
      <c r="O114" s="35"/>
      <c r="P114" s="35"/>
      <c r="Q114" s="35"/>
      <c r="R114" s="35"/>
      <c r="S114" s="34"/>
    </row>
    <row r="115">
      <c r="A115" s="1" t="s">
        <v>503</v>
      </c>
      <c r="B115" s="12" t="s">
        <v>504</v>
      </c>
      <c r="C115" s="1" t="s">
        <v>612</v>
      </c>
      <c r="D115" s="12" t="s">
        <v>612</v>
      </c>
      <c r="E115" s="1" t="s">
        <v>196</v>
      </c>
      <c r="F115" s="1" t="s">
        <v>614</v>
      </c>
      <c r="G115" s="1" t="s">
        <v>197</v>
      </c>
      <c r="H115" s="12" t="s">
        <v>565</v>
      </c>
      <c r="I115" s="13"/>
      <c r="J115" s="35"/>
      <c r="K115" s="34"/>
      <c r="L115" s="34"/>
      <c r="M115" s="35"/>
      <c r="N115" s="35"/>
      <c r="O115" s="35"/>
      <c r="P115" s="35"/>
      <c r="Q115" s="35"/>
      <c r="R115" s="35"/>
      <c r="S115" s="34"/>
    </row>
    <row r="116">
      <c r="A116" s="1" t="s">
        <v>506</v>
      </c>
      <c r="B116" s="12" t="s">
        <v>507</v>
      </c>
      <c r="C116" s="1" t="s">
        <v>612</v>
      </c>
      <c r="D116" s="12" t="s">
        <v>612</v>
      </c>
      <c r="E116" s="1" t="s">
        <v>196</v>
      </c>
      <c r="F116" s="1" t="s">
        <v>614</v>
      </c>
      <c r="G116" s="1" t="s">
        <v>197</v>
      </c>
      <c r="H116" s="12" t="s">
        <v>565</v>
      </c>
      <c r="I116" s="13"/>
      <c r="J116" s="35"/>
      <c r="K116" s="34"/>
      <c r="L116" s="34"/>
      <c r="M116" s="35"/>
      <c r="N116" s="35"/>
      <c r="O116" s="35"/>
      <c r="P116" s="35"/>
      <c r="Q116" s="35"/>
      <c r="R116" s="35"/>
      <c r="S116" s="34"/>
    </row>
    <row r="117">
      <c r="A117" s="1" t="s">
        <v>509</v>
      </c>
      <c r="B117" s="12" t="s">
        <v>510</v>
      </c>
      <c r="C117" s="1" t="s">
        <v>612</v>
      </c>
      <c r="D117" s="12" t="s">
        <v>612</v>
      </c>
      <c r="E117" s="1" t="s">
        <v>196</v>
      </c>
      <c r="F117" s="1" t="s">
        <v>614</v>
      </c>
      <c r="G117" s="1" t="s">
        <v>197</v>
      </c>
      <c r="H117" s="12" t="s">
        <v>565</v>
      </c>
      <c r="I117" s="13"/>
      <c r="J117" s="35"/>
      <c r="K117" s="34"/>
      <c r="L117" s="34"/>
      <c r="M117" s="35"/>
      <c r="N117" s="35"/>
      <c r="O117" s="35"/>
      <c r="P117" s="35"/>
      <c r="Q117" s="35"/>
      <c r="R117" s="35"/>
      <c r="S117" s="34"/>
    </row>
    <row r="118">
      <c r="A118" s="1" t="s">
        <v>511</v>
      </c>
      <c r="B118" s="12" t="s">
        <v>138</v>
      </c>
      <c r="C118" s="1" t="s">
        <v>611</v>
      </c>
      <c r="D118" s="12" t="s">
        <v>611</v>
      </c>
      <c r="E118" s="1" t="s">
        <v>196</v>
      </c>
      <c r="F118" s="1" t="s">
        <v>566</v>
      </c>
      <c r="G118" s="1" t="s">
        <v>197</v>
      </c>
      <c r="H118" s="12" t="s">
        <v>589</v>
      </c>
      <c r="I118" s="13"/>
      <c r="J118" s="35"/>
      <c r="K118" s="34"/>
      <c r="L118" s="34"/>
      <c r="M118" s="35"/>
      <c r="N118" s="35"/>
      <c r="O118" s="35"/>
      <c r="P118" s="35"/>
      <c r="Q118" s="35"/>
      <c r="R118" s="35"/>
      <c r="S118" s="34"/>
    </row>
    <row r="119">
      <c r="A119" s="1" t="s">
        <v>512</v>
      </c>
      <c r="B119" s="12" t="s">
        <v>178</v>
      </c>
      <c r="C119" s="1" t="s">
        <v>598</v>
      </c>
      <c r="D119" s="12" t="s">
        <v>598</v>
      </c>
      <c r="E119" s="1" t="s">
        <v>196</v>
      </c>
      <c r="F119" s="1" t="s">
        <v>566</v>
      </c>
      <c r="G119" s="1" t="s">
        <v>197</v>
      </c>
      <c r="H119" s="12" t="s">
        <v>589</v>
      </c>
      <c r="I119" s="15">
        <v>45881.0</v>
      </c>
      <c r="J119" s="35"/>
      <c r="K119" s="34"/>
      <c r="L119" s="34"/>
      <c r="M119" s="35"/>
      <c r="N119" s="35"/>
      <c r="O119" s="35"/>
      <c r="P119" s="35"/>
      <c r="Q119" s="35"/>
      <c r="R119" s="35"/>
      <c r="S119" s="34"/>
    </row>
    <row r="120">
      <c r="A120" s="1" t="s">
        <v>515</v>
      </c>
      <c r="B120" s="12" t="s">
        <v>516</v>
      </c>
      <c r="C120" s="1" t="s">
        <v>612</v>
      </c>
      <c r="D120" s="12" t="s">
        <v>612</v>
      </c>
      <c r="E120" s="1" t="s">
        <v>196</v>
      </c>
      <c r="F120" s="1" t="s">
        <v>566</v>
      </c>
      <c r="G120" s="1" t="s">
        <v>197</v>
      </c>
      <c r="H120" s="12" t="s">
        <v>565</v>
      </c>
      <c r="I120" s="13"/>
      <c r="J120" s="35"/>
      <c r="K120" s="34"/>
      <c r="L120" s="34"/>
      <c r="M120" s="35"/>
      <c r="N120" s="35"/>
      <c r="O120" s="35"/>
      <c r="P120" s="35"/>
      <c r="Q120" s="35"/>
      <c r="R120" s="35"/>
      <c r="S120" s="34"/>
    </row>
    <row r="121">
      <c r="A121" s="1" t="s">
        <v>518</v>
      </c>
      <c r="B121" s="12" t="s">
        <v>168</v>
      </c>
      <c r="C121" s="1" t="s">
        <v>612</v>
      </c>
      <c r="D121" s="12" t="s">
        <v>612</v>
      </c>
      <c r="E121" s="1" t="s">
        <v>196</v>
      </c>
      <c r="F121" s="1" t="s">
        <v>566</v>
      </c>
      <c r="G121" s="1" t="s">
        <v>197</v>
      </c>
      <c r="H121" s="12" t="s">
        <v>615</v>
      </c>
      <c r="I121" s="13"/>
      <c r="J121" s="35"/>
      <c r="K121" s="34"/>
      <c r="L121" s="34"/>
      <c r="M121" s="35"/>
      <c r="N121" s="35"/>
      <c r="O121" s="35"/>
      <c r="P121" s="35"/>
      <c r="Q121" s="35"/>
      <c r="R121" s="35"/>
      <c r="S121" s="34"/>
    </row>
    <row r="122">
      <c r="A122" s="1" t="s">
        <v>521</v>
      </c>
      <c r="B122" s="12" t="s">
        <v>170</v>
      </c>
      <c r="C122" s="1" t="s">
        <v>612</v>
      </c>
      <c r="D122" s="12" t="s">
        <v>612</v>
      </c>
      <c r="E122" s="1" t="s">
        <v>196</v>
      </c>
      <c r="F122" s="1" t="s">
        <v>566</v>
      </c>
      <c r="G122" s="1" t="s">
        <v>197</v>
      </c>
      <c r="H122" s="12" t="s">
        <v>573</v>
      </c>
      <c r="I122" s="13"/>
      <c r="J122" s="35"/>
      <c r="K122" s="34"/>
      <c r="L122" s="34"/>
      <c r="M122" s="35"/>
      <c r="N122" s="35"/>
      <c r="O122" s="35"/>
      <c r="P122" s="35"/>
      <c r="Q122" s="35"/>
      <c r="R122" s="35"/>
      <c r="S122" s="34"/>
    </row>
    <row r="123">
      <c r="A123" s="1" t="s">
        <v>523</v>
      </c>
      <c r="B123" s="12" t="s">
        <v>172</v>
      </c>
      <c r="C123" s="1" t="s">
        <v>612</v>
      </c>
      <c r="D123" s="12" t="s">
        <v>612</v>
      </c>
      <c r="E123" s="1" t="s">
        <v>196</v>
      </c>
      <c r="F123" s="1" t="s">
        <v>566</v>
      </c>
      <c r="G123" s="1" t="s">
        <v>197</v>
      </c>
      <c r="H123" s="12" t="s">
        <v>573</v>
      </c>
      <c r="I123" s="13"/>
      <c r="J123" s="35"/>
      <c r="K123" s="34"/>
      <c r="L123" s="34"/>
      <c r="M123" s="35"/>
      <c r="N123" s="35"/>
      <c r="O123" s="35"/>
      <c r="P123" s="35"/>
      <c r="Q123" s="35"/>
      <c r="R123" s="35"/>
      <c r="S123" s="34"/>
    </row>
    <row r="124">
      <c r="A124" s="1" t="s">
        <v>524</v>
      </c>
      <c r="B124" s="12" t="s">
        <v>113</v>
      </c>
      <c r="C124" s="1" t="s">
        <v>611</v>
      </c>
      <c r="D124" s="12" t="s">
        <v>611</v>
      </c>
      <c r="E124" s="1" t="s">
        <v>196</v>
      </c>
      <c r="F124" s="1" t="s">
        <v>566</v>
      </c>
      <c r="G124" s="1" t="s">
        <v>197</v>
      </c>
      <c r="H124" s="12" t="s">
        <v>589</v>
      </c>
      <c r="I124" s="13">
        <v>45919.0</v>
      </c>
      <c r="J124" s="35"/>
      <c r="K124" s="34"/>
      <c r="L124" s="34"/>
      <c r="M124" s="35"/>
      <c r="N124" s="35"/>
      <c r="O124" s="35"/>
      <c r="P124" s="35"/>
      <c r="Q124" s="35"/>
      <c r="R124" s="35"/>
      <c r="S124" s="34"/>
    </row>
    <row r="125">
      <c r="A125" s="1" t="s">
        <v>526</v>
      </c>
      <c r="B125" s="12" t="s">
        <v>111</v>
      </c>
      <c r="C125" s="1" t="s">
        <v>611</v>
      </c>
      <c r="D125" s="12" t="s">
        <v>611</v>
      </c>
      <c r="E125" s="1" t="s">
        <v>196</v>
      </c>
      <c r="F125" s="1" t="s">
        <v>566</v>
      </c>
      <c r="G125" s="1" t="s">
        <v>197</v>
      </c>
      <c r="H125" s="12" t="s">
        <v>589</v>
      </c>
      <c r="I125" s="13">
        <v>45919.0</v>
      </c>
      <c r="J125" s="35"/>
      <c r="K125" s="34"/>
      <c r="L125" s="34"/>
      <c r="M125" s="35"/>
      <c r="N125" s="35"/>
      <c r="O125" s="35"/>
      <c r="P125" s="35"/>
      <c r="Q125" s="35"/>
      <c r="R125" s="35"/>
      <c r="S125" s="34"/>
    </row>
    <row r="126">
      <c r="A126" s="1" t="s">
        <v>528</v>
      </c>
      <c r="B126" s="12" t="s">
        <v>106</v>
      </c>
      <c r="C126" s="1" t="s">
        <v>611</v>
      </c>
      <c r="D126" s="12" t="s">
        <v>611</v>
      </c>
      <c r="E126" s="1" t="s">
        <v>196</v>
      </c>
      <c r="F126" s="1" t="s">
        <v>566</v>
      </c>
      <c r="G126" s="1" t="s">
        <v>197</v>
      </c>
      <c r="H126" s="12" t="s">
        <v>589</v>
      </c>
      <c r="I126" s="13">
        <v>45919.0</v>
      </c>
      <c r="J126" s="35"/>
      <c r="K126" s="34"/>
      <c r="L126" s="34"/>
      <c r="M126" s="35"/>
      <c r="N126" s="35"/>
      <c r="O126" s="35"/>
      <c r="P126" s="35"/>
      <c r="Q126" s="35"/>
      <c r="R126" s="35"/>
      <c r="S126" s="34"/>
    </row>
    <row r="127">
      <c r="A127" s="1" t="s">
        <v>530</v>
      </c>
      <c r="B127" s="12" t="s">
        <v>531</v>
      </c>
      <c r="C127" s="1" t="s">
        <v>598</v>
      </c>
      <c r="D127" s="12" t="s">
        <v>598</v>
      </c>
      <c r="E127" s="1" t="s">
        <v>196</v>
      </c>
      <c r="F127" s="1" t="s">
        <v>566</v>
      </c>
      <c r="G127" s="1" t="s">
        <v>197</v>
      </c>
      <c r="H127" s="12" t="s">
        <v>589</v>
      </c>
      <c r="I127" s="15">
        <v>45917.0</v>
      </c>
      <c r="J127" s="35"/>
      <c r="K127" s="34"/>
      <c r="L127" s="34"/>
      <c r="M127" s="35"/>
      <c r="N127" s="35"/>
      <c r="O127" s="35"/>
      <c r="P127" s="35"/>
      <c r="Q127" s="35"/>
      <c r="R127" s="35"/>
      <c r="S127" s="34"/>
    </row>
    <row r="128">
      <c r="A128" s="1" t="s">
        <v>533</v>
      </c>
      <c r="B128" s="12" t="s">
        <v>534</v>
      </c>
      <c r="C128" s="1" t="s">
        <v>598</v>
      </c>
      <c r="D128" s="12" t="s">
        <v>598</v>
      </c>
      <c r="E128" s="1" t="s">
        <v>196</v>
      </c>
      <c r="F128" s="1" t="s">
        <v>566</v>
      </c>
      <c r="G128" s="1" t="s">
        <v>197</v>
      </c>
      <c r="H128" s="12" t="s">
        <v>589</v>
      </c>
      <c r="I128" s="15">
        <v>45916.0</v>
      </c>
      <c r="J128" s="35"/>
      <c r="K128" s="34"/>
      <c r="L128" s="34"/>
      <c r="M128" s="35"/>
      <c r="N128" s="35"/>
      <c r="O128" s="35"/>
      <c r="P128" s="35"/>
      <c r="Q128" s="35"/>
      <c r="R128" s="35"/>
      <c r="S128" s="34"/>
    </row>
    <row r="129">
      <c r="A129" s="1" t="s">
        <v>536</v>
      </c>
      <c r="B129" s="12" t="s">
        <v>537</v>
      </c>
      <c r="C129" s="1" t="s">
        <v>598</v>
      </c>
      <c r="D129" s="12" t="s">
        <v>598</v>
      </c>
      <c r="E129" s="1" t="s">
        <v>196</v>
      </c>
      <c r="F129" s="1" t="s">
        <v>566</v>
      </c>
      <c r="G129" s="1" t="s">
        <v>197</v>
      </c>
      <c r="H129" s="12" t="s">
        <v>589</v>
      </c>
      <c r="I129" s="15">
        <v>45929.0</v>
      </c>
      <c r="J129" s="35"/>
      <c r="K129" s="34"/>
      <c r="L129" s="34"/>
      <c r="M129" s="35"/>
      <c r="N129" s="35"/>
      <c r="O129" s="35"/>
      <c r="P129" s="35"/>
      <c r="Q129" s="35"/>
      <c r="R129" s="35"/>
      <c r="S129" s="34"/>
    </row>
    <row r="130">
      <c r="A130" s="1" t="s">
        <v>539</v>
      </c>
      <c r="B130" s="12" t="s">
        <v>540</v>
      </c>
      <c r="C130" s="1" t="s">
        <v>598</v>
      </c>
      <c r="D130" s="12" t="s">
        <v>598</v>
      </c>
      <c r="E130" s="1" t="s">
        <v>196</v>
      </c>
      <c r="F130" s="1" t="s">
        <v>566</v>
      </c>
      <c r="G130" s="1" t="s">
        <v>197</v>
      </c>
      <c r="H130" s="12" t="s">
        <v>589</v>
      </c>
      <c r="I130" s="15">
        <v>45917.0</v>
      </c>
      <c r="J130" s="35"/>
      <c r="K130" s="34"/>
      <c r="L130" s="34"/>
      <c r="M130" s="35"/>
      <c r="N130" s="35"/>
      <c r="O130" s="35"/>
      <c r="P130" s="35"/>
      <c r="Q130" s="35"/>
      <c r="R130" s="35"/>
      <c r="S130" s="34"/>
    </row>
    <row r="131">
      <c r="A131" s="1" t="s">
        <v>541</v>
      </c>
      <c r="B131" s="12" t="s">
        <v>542</v>
      </c>
      <c r="C131" s="1" t="s">
        <v>611</v>
      </c>
      <c r="D131" s="12" t="s">
        <v>611</v>
      </c>
      <c r="E131" s="1" t="s">
        <v>196</v>
      </c>
      <c r="F131" s="1" t="s">
        <v>614</v>
      </c>
      <c r="G131" s="1" t="s">
        <v>197</v>
      </c>
      <c r="H131" s="12" t="s">
        <v>589</v>
      </c>
      <c r="I131" s="13"/>
      <c r="J131" s="35"/>
      <c r="K131" s="34"/>
      <c r="L131" s="34"/>
      <c r="M131" s="35"/>
      <c r="N131" s="35"/>
      <c r="O131" s="35"/>
      <c r="P131" s="35"/>
      <c r="Q131" s="35"/>
      <c r="R131" s="35"/>
      <c r="S131" s="34"/>
    </row>
    <row r="132">
      <c r="A132" s="1" t="s">
        <v>544</v>
      </c>
      <c r="B132" s="12" t="s">
        <v>545</v>
      </c>
      <c r="C132" s="1"/>
      <c r="E132" s="1" t="s">
        <v>196</v>
      </c>
      <c r="F132" s="1" t="s">
        <v>614</v>
      </c>
      <c r="G132" s="1" t="s">
        <v>197</v>
      </c>
      <c r="H132" s="12" t="s">
        <v>615</v>
      </c>
      <c r="I132" s="13"/>
      <c r="J132" s="35"/>
      <c r="K132" s="34"/>
      <c r="L132" s="34"/>
      <c r="M132" s="35"/>
      <c r="N132" s="35"/>
      <c r="O132" s="35"/>
      <c r="P132" s="35"/>
      <c r="Q132" s="35"/>
      <c r="R132" s="35"/>
      <c r="S132" s="34"/>
    </row>
    <row r="133">
      <c r="A133" s="1" t="s">
        <v>546</v>
      </c>
      <c r="B133" s="12" t="s">
        <v>547</v>
      </c>
      <c r="C133" s="1"/>
      <c r="E133" s="1" t="s">
        <v>196</v>
      </c>
      <c r="F133" s="1" t="s">
        <v>614</v>
      </c>
      <c r="G133" s="1" t="s">
        <v>197</v>
      </c>
      <c r="H133" s="12" t="s">
        <v>615</v>
      </c>
      <c r="I133" s="13"/>
      <c r="J133" s="35"/>
      <c r="K133" s="34"/>
      <c r="L133" s="34"/>
      <c r="M133" s="35"/>
      <c r="N133" s="35"/>
      <c r="O133" s="35"/>
      <c r="P133" s="35"/>
      <c r="Q133" s="35"/>
      <c r="R133" s="35"/>
      <c r="S133" s="34"/>
    </row>
    <row r="134">
      <c r="A134" s="1" t="s">
        <v>549</v>
      </c>
      <c r="B134" s="12" t="s">
        <v>550</v>
      </c>
      <c r="C134" s="1"/>
      <c r="E134" s="1" t="s">
        <v>196</v>
      </c>
      <c r="F134" s="1" t="s">
        <v>614</v>
      </c>
      <c r="G134" s="1" t="s">
        <v>197</v>
      </c>
      <c r="H134" s="12" t="s">
        <v>615</v>
      </c>
      <c r="I134" s="13"/>
      <c r="J134" s="35"/>
      <c r="K134" s="34"/>
      <c r="L134" s="34"/>
      <c r="M134" s="35"/>
      <c r="N134" s="35"/>
      <c r="O134" s="35"/>
      <c r="P134" s="35"/>
      <c r="Q134" s="35"/>
      <c r="R134" s="35"/>
      <c r="S134" s="34"/>
    </row>
    <row r="135">
      <c r="A135" s="1" t="s">
        <v>552</v>
      </c>
      <c r="B135" s="12" t="s">
        <v>553</v>
      </c>
      <c r="C135" s="1"/>
      <c r="E135" s="1" t="s">
        <v>196</v>
      </c>
      <c r="F135" s="1" t="s">
        <v>614</v>
      </c>
      <c r="G135" s="1" t="s">
        <v>197</v>
      </c>
      <c r="H135" s="12" t="s">
        <v>615</v>
      </c>
      <c r="I135" s="13"/>
      <c r="J135" s="35"/>
      <c r="K135" s="34"/>
      <c r="L135" s="34"/>
      <c r="M135" s="35"/>
      <c r="N135" s="35"/>
      <c r="O135" s="35"/>
      <c r="P135" s="35"/>
      <c r="Q135" s="35"/>
      <c r="R135" s="35"/>
      <c r="S135" s="34"/>
    </row>
    <row r="136">
      <c r="A136" s="1" t="s">
        <v>555</v>
      </c>
      <c r="B136" s="12" t="s">
        <v>556</v>
      </c>
      <c r="C136" s="1"/>
      <c r="E136" s="1" t="s">
        <v>196</v>
      </c>
      <c r="F136" s="1" t="s">
        <v>614</v>
      </c>
      <c r="G136" s="1" t="s">
        <v>197</v>
      </c>
      <c r="H136" s="12" t="s">
        <v>615</v>
      </c>
      <c r="I136" s="13"/>
      <c r="J136" s="35"/>
      <c r="K136" s="34"/>
      <c r="L136" s="34"/>
      <c r="M136" s="35"/>
      <c r="N136" s="35"/>
      <c r="O136" s="35"/>
      <c r="P136" s="35"/>
      <c r="Q136" s="35"/>
      <c r="R136" s="35"/>
      <c r="S136" s="34"/>
    </row>
    <row r="137">
      <c r="A137" s="1" t="s">
        <v>557</v>
      </c>
      <c r="B137" s="12" t="s">
        <v>558</v>
      </c>
      <c r="C137" s="1"/>
      <c r="E137" s="1" t="s">
        <v>196</v>
      </c>
      <c r="F137" s="1" t="s">
        <v>614</v>
      </c>
      <c r="G137" s="1" t="s">
        <v>197</v>
      </c>
      <c r="H137" s="12" t="s">
        <v>615</v>
      </c>
      <c r="I137" s="13"/>
      <c r="J137" s="35"/>
      <c r="K137" s="34"/>
      <c r="L137" s="34"/>
      <c r="M137" s="35"/>
      <c r="N137" s="35"/>
      <c r="O137" s="35"/>
      <c r="P137" s="35"/>
      <c r="Q137" s="35"/>
      <c r="R137" s="35"/>
      <c r="S137" s="34"/>
    </row>
    <row r="138">
      <c r="A138" s="1" t="s">
        <v>560</v>
      </c>
      <c r="B138" s="12" t="s">
        <v>561</v>
      </c>
      <c r="C138" s="1"/>
      <c r="E138" s="1" t="s">
        <v>196</v>
      </c>
      <c r="F138" s="1" t="s">
        <v>614</v>
      </c>
      <c r="G138" s="1" t="s">
        <v>197</v>
      </c>
      <c r="H138" s="12" t="s">
        <v>615</v>
      </c>
      <c r="I138" s="13"/>
      <c r="J138" s="35"/>
      <c r="K138" s="34"/>
      <c r="L138" s="34"/>
      <c r="M138" s="35"/>
      <c r="N138" s="35"/>
      <c r="O138" s="35"/>
      <c r="P138" s="35"/>
      <c r="Q138" s="35"/>
      <c r="R138" s="35"/>
      <c r="S138" s="34"/>
    </row>
    <row r="139">
      <c r="A139" s="1" t="s">
        <v>563</v>
      </c>
      <c r="B139" s="12" t="s">
        <v>564</v>
      </c>
      <c r="C139" s="1"/>
      <c r="E139" s="1" t="s">
        <v>196</v>
      </c>
      <c r="F139" s="1" t="s">
        <v>614</v>
      </c>
      <c r="G139" s="1" t="s">
        <v>197</v>
      </c>
      <c r="H139" s="12" t="s">
        <v>615</v>
      </c>
      <c r="I139" s="13"/>
      <c r="J139" s="35"/>
      <c r="K139" s="34"/>
      <c r="L139" s="34"/>
      <c r="M139" s="35"/>
      <c r="N139" s="35"/>
      <c r="O139" s="35"/>
      <c r="P139" s="35"/>
      <c r="Q139" s="35"/>
      <c r="R139" s="35"/>
      <c r="S139" s="34"/>
    </row>
    <row r="140">
      <c r="A140" s="1" t="s">
        <v>565</v>
      </c>
      <c r="B140" s="12" t="s">
        <v>121</v>
      </c>
      <c r="C140" s="1" t="s">
        <v>612</v>
      </c>
      <c r="D140" s="12" t="s">
        <v>612</v>
      </c>
      <c r="E140" s="1" t="s">
        <v>193</v>
      </c>
      <c r="F140" s="1" t="s">
        <v>566</v>
      </c>
      <c r="G140" s="1" t="s">
        <v>567</v>
      </c>
      <c r="H140" s="12" t="s">
        <v>615</v>
      </c>
      <c r="I140" s="19">
        <v>45926.0</v>
      </c>
      <c r="J140" s="35"/>
      <c r="K140" s="34"/>
      <c r="L140" s="34"/>
      <c r="M140" s="35"/>
      <c r="N140" s="35"/>
      <c r="O140" s="35"/>
      <c r="P140" s="35"/>
      <c r="Q140" s="35"/>
      <c r="R140" s="35"/>
      <c r="S140" s="34"/>
    </row>
    <row r="141">
      <c r="A141" s="1" t="s">
        <v>573</v>
      </c>
      <c r="B141" s="1" t="s">
        <v>129</v>
      </c>
      <c r="C141" s="1" t="s">
        <v>618</v>
      </c>
      <c r="D141" s="12" t="s">
        <v>618</v>
      </c>
      <c r="E141" s="1" t="s">
        <v>193</v>
      </c>
      <c r="F141" s="1" t="s">
        <v>566</v>
      </c>
      <c r="G141" s="1" t="s">
        <v>567</v>
      </c>
      <c r="H141" s="12" t="s">
        <v>615</v>
      </c>
      <c r="I141" s="19">
        <v>45926.0</v>
      </c>
      <c r="J141" s="35"/>
      <c r="K141" s="34"/>
      <c r="L141" s="34"/>
      <c r="M141" s="35"/>
      <c r="N141" s="35"/>
      <c r="O141" s="35"/>
      <c r="P141" s="35"/>
      <c r="Q141" s="35"/>
      <c r="R141" s="35"/>
      <c r="S141" s="34"/>
    </row>
    <row r="142">
      <c r="A142" s="1" t="s">
        <v>575</v>
      </c>
      <c r="B142" s="12" t="s">
        <v>118</v>
      </c>
      <c r="C142" s="1" t="s">
        <v>618</v>
      </c>
      <c r="D142" s="12" t="s">
        <v>618</v>
      </c>
      <c r="E142" s="1" t="s">
        <v>193</v>
      </c>
      <c r="F142" s="1" t="s">
        <v>566</v>
      </c>
      <c r="G142" s="1" t="s">
        <v>567</v>
      </c>
      <c r="H142" s="12" t="s">
        <v>615</v>
      </c>
      <c r="I142" s="19">
        <v>45926.0</v>
      </c>
      <c r="J142" s="35"/>
      <c r="K142" s="34"/>
      <c r="L142" s="34"/>
      <c r="M142" s="35"/>
      <c r="N142" s="35"/>
      <c r="O142" s="35"/>
      <c r="P142" s="35"/>
      <c r="Q142" s="35"/>
      <c r="R142" s="35"/>
      <c r="S142" s="34"/>
    </row>
    <row r="143">
      <c r="A143" s="1" t="s">
        <v>577</v>
      </c>
      <c r="B143" s="12" t="s">
        <v>100</v>
      </c>
      <c r="C143" s="1" t="s">
        <v>618</v>
      </c>
      <c r="D143" s="12" t="s">
        <v>618</v>
      </c>
      <c r="E143" s="1" t="s">
        <v>193</v>
      </c>
      <c r="F143" s="1" t="s">
        <v>566</v>
      </c>
      <c r="G143" s="1" t="s">
        <v>567</v>
      </c>
      <c r="H143" s="12" t="s">
        <v>615</v>
      </c>
      <c r="I143" s="19">
        <v>45926.0</v>
      </c>
      <c r="J143" s="35"/>
      <c r="K143" s="34"/>
      <c r="L143" s="34"/>
      <c r="M143" s="35"/>
      <c r="N143" s="35"/>
      <c r="O143" s="35"/>
      <c r="P143" s="35"/>
      <c r="Q143" s="35"/>
      <c r="R143" s="35"/>
      <c r="S143" s="34"/>
    </row>
    <row r="144">
      <c r="A144" s="1" t="s">
        <v>579</v>
      </c>
      <c r="B144" s="12" t="s">
        <v>131</v>
      </c>
      <c r="C144" s="1" t="s">
        <v>611</v>
      </c>
      <c r="D144" s="12" t="s">
        <v>611</v>
      </c>
      <c r="E144" s="1" t="s">
        <v>580</v>
      </c>
      <c r="F144" s="1" t="s">
        <v>566</v>
      </c>
      <c r="G144" s="1" t="s">
        <v>567</v>
      </c>
      <c r="H144" s="12" t="s">
        <v>615</v>
      </c>
      <c r="I144" s="19">
        <v>45926.0</v>
      </c>
      <c r="J144" s="35"/>
      <c r="K144" s="34"/>
      <c r="L144" s="34"/>
      <c r="M144" s="35"/>
      <c r="N144" s="35"/>
      <c r="O144" s="35"/>
      <c r="P144" s="35"/>
      <c r="Q144" s="35"/>
      <c r="R144" s="35"/>
      <c r="S144" s="34"/>
    </row>
    <row r="145">
      <c r="A145" s="1" t="s">
        <v>583</v>
      </c>
      <c r="B145" s="12" t="s">
        <v>115</v>
      </c>
      <c r="C145" s="1" t="s">
        <v>611</v>
      </c>
      <c r="D145" s="12" t="s">
        <v>611</v>
      </c>
      <c r="E145" s="1" t="s">
        <v>580</v>
      </c>
      <c r="F145" s="1" t="s">
        <v>566</v>
      </c>
      <c r="G145" s="1" t="s">
        <v>567</v>
      </c>
      <c r="H145" s="12" t="s">
        <v>615</v>
      </c>
      <c r="I145" s="19">
        <v>45926.0</v>
      </c>
      <c r="J145" s="35"/>
      <c r="K145" s="34"/>
      <c r="L145" s="34"/>
      <c r="M145" s="35"/>
      <c r="N145" s="35"/>
      <c r="O145" s="35"/>
      <c r="P145" s="35"/>
      <c r="Q145" s="35"/>
      <c r="R145" s="35"/>
      <c r="S145" s="34"/>
    </row>
    <row r="146">
      <c r="A146" s="1" t="s">
        <v>584</v>
      </c>
      <c r="B146" s="1" t="s">
        <v>49</v>
      </c>
      <c r="C146" s="1" t="s">
        <v>611</v>
      </c>
      <c r="D146" s="12" t="s">
        <v>611</v>
      </c>
      <c r="E146" s="1" t="s">
        <v>580</v>
      </c>
      <c r="F146" s="1" t="s">
        <v>566</v>
      </c>
      <c r="G146" s="1" t="s">
        <v>567</v>
      </c>
      <c r="H146" s="12" t="s">
        <v>615</v>
      </c>
      <c r="I146" s="19">
        <v>45926.0</v>
      </c>
      <c r="J146" s="35"/>
      <c r="K146" s="34"/>
      <c r="L146" s="34"/>
      <c r="M146" s="35"/>
      <c r="N146" s="35"/>
      <c r="O146" s="35"/>
      <c r="P146" s="35"/>
      <c r="Q146" s="35"/>
      <c r="R146" s="35"/>
      <c r="S146" s="34"/>
    </row>
    <row r="147">
      <c r="A147" s="1" t="s">
        <v>586</v>
      </c>
      <c r="B147" s="1" t="s">
        <v>17</v>
      </c>
      <c r="C147" s="1" t="s">
        <v>618</v>
      </c>
      <c r="D147" s="12" t="s">
        <v>618</v>
      </c>
      <c r="E147" s="1" t="s">
        <v>580</v>
      </c>
      <c r="F147" s="1" t="s">
        <v>566</v>
      </c>
      <c r="G147" s="1" t="s">
        <v>567</v>
      </c>
      <c r="H147" s="12" t="s">
        <v>615</v>
      </c>
      <c r="I147" s="27">
        <v>45913.0</v>
      </c>
      <c r="J147" s="35"/>
      <c r="K147" s="34"/>
      <c r="L147" s="34"/>
      <c r="M147" s="35"/>
      <c r="N147" s="35"/>
      <c r="O147" s="35"/>
      <c r="P147" s="35"/>
      <c r="Q147" s="35"/>
      <c r="R147" s="35"/>
      <c r="S147" s="34"/>
    </row>
    <row r="148">
      <c r="A148" s="1" t="s">
        <v>589</v>
      </c>
      <c r="B148" s="1" t="s">
        <v>590</v>
      </c>
      <c r="C148" s="1" t="s">
        <v>612</v>
      </c>
      <c r="D148" s="12" t="s">
        <v>612</v>
      </c>
      <c r="E148" s="1" t="s">
        <v>193</v>
      </c>
      <c r="F148" s="1" t="s">
        <v>566</v>
      </c>
      <c r="G148" s="1" t="s">
        <v>567</v>
      </c>
      <c r="H148" s="12" t="s">
        <v>615</v>
      </c>
      <c r="I148" s="30"/>
      <c r="J148" s="35"/>
      <c r="K148" s="34"/>
      <c r="L148" s="34"/>
      <c r="M148" s="35"/>
      <c r="N148" s="35"/>
      <c r="O148" s="35"/>
      <c r="P148" s="35"/>
      <c r="Q148" s="35"/>
      <c r="R148" s="35"/>
      <c r="S148" s="34"/>
    </row>
    <row r="149">
      <c r="A149" s="1" t="s">
        <v>591</v>
      </c>
      <c r="B149" s="1" t="s">
        <v>84</v>
      </c>
      <c r="C149" s="1" t="s">
        <v>618</v>
      </c>
      <c r="D149" s="12" t="s">
        <v>618</v>
      </c>
      <c r="E149" s="1" t="s">
        <v>193</v>
      </c>
      <c r="F149" s="1" t="s">
        <v>566</v>
      </c>
      <c r="G149" s="1" t="s">
        <v>567</v>
      </c>
      <c r="H149" s="12" t="s">
        <v>615</v>
      </c>
      <c r="I149" s="31">
        <v>45942.0</v>
      </c>
      <c r="J149" s="35"/>
      <c r="K149" s="34"/>
      <c r="L149" s="34"/>
      <c r="M149" s="35"/>
      <c r="N149" s="35"/>
      <c r="O149" s="35"/>
      <c r="P149" s="35"/>
      <c r="Q149" s="35"/>
      <c r="R149" s="35"/>
      <c r="S149" s="34"/>
    </row>
    <row r="150">
      <c r="A150" s="1" t="s">
        <v>594</v>
      </c>
      <c r="B150" s="1" t="s">
        <v>95</v>
      </c>
      <c r="C150" s="1" t="s">
        <v>618</v>
      </c>
      <c r="D150" s="12" t="s">
        <v>618</v>
      </c>
      <c r="E150" s="1" t="s">
        <v>193</v>
      </c>
      <c r="F150" s="1" t="s">
        <v>566</v>
      </c>
      <c r="G150" s="1" t="s">
        <v>567</v>
      </c>
      <c r="H150" s="12" t="s">
        <v>615</v>
      </c>
      <c r="I150" s="19">
        <v>45908.0</v>
      </c>
      <c r="J150" s="35"/>
      <c r="K150" s="34"/>
      <c r="L150" s="34"/>
      <c r="M150" s="35"/>
      <c r="N150" s="35"/>
      <c r="O150" s="35"/>
      <c r="P150" s="35"/>
      <c r="Q150" s="35"/>
      <c r="R150" s="35"/>
      <c r="S150" s="34"/>
    </row>
    <row r="151">
      <c r="A151" s="1" t="s">
        <v>597</v>
      </c>
      <c r="B151" s="1" t="s">
        <v>619</v>
      </c>
      <c r="C151" s="1" t="s">
        <v>618</v>
      </c>
      <c r="D151" s="12" t="s">
        <v>618</v>
      </c>
      <c r="E151" s="1" t="s">
        <v>193</v>
      </c>
      <c r="F151" s="1" t="s">
        <v>566</v>
      </c>
      <c r="G151" s="1" t="s">
        <v>567</v>
      </c>
      <c r="H151" s="12" t="s">
        <v>615</v>
      </c>
      <c r="I151" s="30"/>
      <c r="J151" s="35"/>
      <c r="K151" s="34"/>
      <c r="L151" s="34"/>
      <c r="M151" s="35"/>
      <c r="N151" s="35"/>
      <c r="O151" s="35"/>
      <c r="P151" s="35"/>
      <c r="Q151" s="35"/>
      <c r="R151" s="35"/>
      <c r="S151" s="34"/>
    </row>
    <row r="152">
      <c r="A152" s="1" t="s">
        <v>599</v>
      </c>
      <c r="B152" s="10" t="s">
        <v>140</v>
      </c>
      <c r="C152" s="10" t="s">
        <v>598</v>
      </c>
      <c r="D152" s="10" t="s">
        <v>598</v>
      </c>
      <c r="E152" s="1" t="s">
        <v>196</v>
      </c>
      <c r="F152" s="1" t="s">
        <v>566</v>
      </c>
      <c r="G152" s="1" t="s">
        <v>567</v>
      </c>
      <c r="M152" s="30"/>
    </row>
    <row r="153">
      <c r="A153" s="1" t="s">
        <v>600</v>
      </c>
      <c r="B153" s="10" t="s">
        <v>136</v>
      </c>
      <c r="C153" s="11" t="s">
        <v>598</v>
      </c>
      <c r="D153" s="11" t="s">
        <v>598</v>
      </c>
      <c r="E153" s="1" t="s">
        <v>616</v>
      </c>
      <c r="F153" s="1" t="s">
        <v>566</v>
      </c>
      <c r="G153" s="1" t="s">
        <v>197</v>
      </c>
      <c r="H153" s="1" t="s">
        <v>594</v>
      </c>
      <c r="M153" s="30"/>
    </row>
    <row r="154">
      <c r="A154" s="1" t="s">
        <v>601</v>
      </c>
      <c r="B154" s="10" t="s">
        <v>144</v>
      </c>
      <c r="C154" s="10" t="s">
        <v>598</v>
      </c>
      <c r="D154" s="10" t="s">
        <v>598</v>
      </c>
      <c r="E154" s="1" t="s">
        <v>196</v>
      </c>
      <c r="F154" s="1" t="s">
        <v>566</v>
      </c>
      <c r="G154" s="1" t="s">
        <v>197</v>
      </c>
      <c r="H154" s="1" t="s">
        <v>597</v>
      </c>
      <c r="M154" s="30"/>
    </row>
    <row r="155">
      <c r="A155" s="1" t="s">
        <v>602</v>
      </c>
      <c r="B155" s="10" t="s">
        <v>154</v>
      </c>
      <c r="C155" s="11" t="s">
        <v>598</v>
      </c>
      <c r="D155" s="11" t="s">
        <v>598</v>
      </c>
      <c r="E155" s="1" t="s">
        <v>616</v>
      </c>
      <c r="F155" s="1" t="s">
        <v>566</v>
      </c>
      <c r="G155" s="1" t="s">
        <v>197</v>
      </c>
      <c r="H155" s="1" t="s">
        <v>599</v>
      </c>
      <c r="M155" s="30"/>
    </row>
    <row r="156">
      <c r="A156" s="1" t="s">
        <v>604</v>
      </c>
      <c r="B156" s="10" t="s">
        <v>603</v>
      </c>
      <c r="C156" s="10" t="s">
        <v>598</v>
      </c>
      <c r="D156" s="10" t="s">
        <v>598</v>
      </c>
      <c r="E156" s="1" t="s">
        <v>196</v>
      </c>
      <c r="F156" s="1" t="s">
        <v>614</v>
      </c>
      <c r="G156" s="1" t="s">
        <v>197</v>
      </c>
      <c r="H156" s="1" t="s">
        <v>600</v>
      </c>
      <c r="M156" s="30"/>
    </row>
    <row r="157">
      <c r="A157" s="1" t="s">
        <v>606</v>
      </c>
      <c r="B157" s="10" t="s">
        <v>605</v>
      </c>
      <c r="C157" s="11" t="s">
        <v>598</v>
      </c>
      <c r="D157" s="11" t="s">
        <v>598</v>
      </c>
      <c r="E157" s="1" t="s">
        <v>196</v>
      </c>
      <c r="F157" s="1" t="s">
        <v>614</v>
      </c>
      <c r="G157" s="1" t="s">
        <v>197</v>
      </c>
      <c r="H157" s="1" t="s">
        <v>601</v>
      </c>
      <c r="M157" s="30"/>
    </row>
    <row r="158">
      <c r="A158" s="1" t="s">
        <v>608</v>
      </c>
      <c r="B158" s="10" t="s">
        <v>607</v>
      </c>
      <c r="C158" s="10" t="s">
        <v>598</v>
      </c>
      <c r="D158" s="10" t="s">
        <v>598</v>
      </c>
      <c r="E158" s="1" t="s">
        <v>196</v>
      </c>
      <c r="F158" s="1" t="s">
        <v>614</v>
      </c>
      <c r="G158" s="1" t="s">
        <v>197</v>
      </c>
      <c r="H158" s="1" t="s">
        <v>602</v>
      </c>
      <c r="M158" s="30"/>
    </row>
    <row r="159">
      <c r="A159" s="1" t="s">
        <v>609</v>
      </c>
      <c r="B159" s="10" t="s">
        <v>166</v>
      </c>
      <c r="C159" s="11" t="s">
        <v>598</v>
      </c>
      <c r="D159" s="11" t="s">
        <v>598</v>
      </c>
      <c r="E159" s="1" t="s">
        <v>196</v>
      </c>
      <c r="F159" s="1" t="s">
        <v>614</v>
      </c>
      <c r="G159" s="1" t="s">
        <v>197</v>
      </c>
      <c r="H159" s="1" t="s">
        <v>604</v>
      </c>
      <c r="M159" s="30"/>
    </row>
    <row r="160">
      <c r="A160" s="1" t="s">
        <v>620</v>
      </c>
      <c r="B160" s="10" t="s">
        <v>148</v>
      </c>
      <c r="C160" s="10" t="s">
        <v>598</v>
      </c>
      <c r="D160" s="10" t="s">
        <v>598</v>
      </c>
      <c r="E160" s="1" t="s">
        <v>196</v>
      </c>
      <c r="F160" s="1" t="s">
        <v>614</v>
      </c>
      <c r="G160" s="1" t="s">
        <v>197</v>
      </c>
      <c r="H160" s="1" t="s">
        <v>606</v>
      </c>
      <c r="M160" s="30"/>
    </row>
    <row r="161">
      <c r="I161" s="30"/>
      <c r="J161" s="35"/>
      <c r="K161" s="34"/>
      <c r="L161" s="34"/>
      <c r="M161" s="35"/>
      <c r="N161" s="35"/>
      <c r="O161" s="35"/>
      <c r="P161" s="35"/>
      <c r="Q161" s="35"/>
      <c r="R161" s="35"/>
      <c r="S161" s="34"/>
    </row>
    <row r="162">
      <c r="I162" s="30"/>
      <c r="J162" s="35"/>
      <c r="K162" s="34"/>
      <c r="L162" s="34"/>
      <c r="M162" s="35"/>
      <c r="N162" s="35"/>
      <c r="O162" s="35"/>
      <c r="P162" s="35"/>
      <c r="Q162" s="35"/>
      <c r="R162" s="35"/>
      <c r="S162" s="34"/>
    </row>
    <row r="163">
      <c r="I163" s="30"/>
      <c r="J163" s="35"/>
      <c r="K163" s="34"/>
      <c r="L163" s="34"/>
      <c r="M163" s="35"/>
      <c r="N163" s="35"/>
      <c r="O163" s="35"/>
      <c r="P163" s="35"/>
      <c r="Q163" s="35"/>
      <c r="R163" s="35"/>
      <c r="S163" s="34"/>
    </row>
    <row r="164">
      <c r="I164" s="30"/>
    </row>
    <row r="165">
      <c r="I165" s="30"/>
    </row>
    <row r="166">
      <c r="I166" s="30"/>
    </row>
    <row r="167">
      <c r="I167" s="30"/>
    </row>
    <row r="168">
      <c r="I168" s="30"/>
    </row>
    <row r="169">
      <c r="I169" s="30"/>
    </row>
    <row r="170">
      <c r="I170" s="30"/>
    </row>
    <row r="171">
      <c r="I171" s="30"/>
    </row>
    <row r="172">
      <c r="I172" s="30"/>
    </row>
    <row r="173">
      <c r="I173" s="30"/>
    </row>
    <row r="174">
      <c r="I174" s="30"/>
    </row>
    <row r="175">
      <c r="I175" s="30"/>
    </row>
    <row r="176">
      <c r="I176" s="30"/>
    </row>
    <row r="177">
      <c r="I177" s="30"/>
    </row>
    <row r="178">
      <c r="I178" s="30"/>
    </row>
    <row r="179">
      <c r="I179" s="30"/>
    </row>
    <row r="180">
      <c r="I180" s="30"/>
    </row>
    <row r="181">
      <c r="I181" s="30"/>
    </row>
    <row r="182">
      <c r="I182" s="30"/>
    </row>
    <row r="183">
      <c r="I183" s="30"/>
    </row>
    <row r="184">
      <c r="I184" s="30"/>
    </row>
    <row r="185">
      <c r="I185" s="30"/>
    </row>
    <row r="186">
      <c r="I186" s="30"/>
    </row>
    <row r="187">
      <c r="I187" s="30"/>
    </row>
    <row r="188">
      <c r="I188" s="30"/>
    </row>
    <row r="189">
      <c r="I189" s="30"/>
    </row>
    <row r="190">
      <c r="I190" s="30"/>
    </row>
    <row r="191">
      <c r="I191" s="30"/>
    </row>
    <row r="192">
      <c r="I192" s="30"/>
    </row>
    <row r="193">
      <c r="I193" s="30"/>
    </row>
    <row r="194">
      <c r="I194" s="30"/>
    </row>
    <row r="195">
      <c r="I195" s="30"/>
    </row>
    <row r="196">
      <c r="I196" s="30"/>
    </row>
    <row r="197">
      <c r="I197" s="30"/>
    </row>
    <row r="198">
      <c r="I198" s="30"/>
    </row>
    <row r="199">
      <c r="I199" s="30"/>
    </row>
    <row r="200">
      <c r="I200" s="30"/>
    </row>
    <row r="201">
      <c r="I201" s="30"/>
    </row>
    <row r="202">
      <c r="I202" s="30"/>
    </row>
    <row r="203">
      <c r="I203" s="30"/>
    </row>
    <row r="204">
      <c r="I204" s="30"/>
    </row>
    <row r="205">
      <c r="I205" s="30"/>
    </row>
    <row r="206">
      <c r="I206" s="30"/>
    </row>
    <row r="207">
      <c r="I207" s="30"/>
    </row>
    <row r="208">
      <c r="I208" s="30"/>
    </row>
    <row r="209">
      <c r="I209" s="30"/>
    </row>
    <row r="210">
      <c r="I210" s="30"/>
    </row>
    <row r="211">
      <c r="I211" s="30"/>
    </row>
    <row r="212">
      <c r="I212" s="30"/>
    </row>
    <row r="213">
      <c r="I213" s="30"/>
    </row>
    <row r="214">
      <c r="I214" s="30"/>
    </row>
    <row r="215">
      <c r="I215" s="30"/>
    </row>
    <row r="216">
      <c r="I216" s="30"/>
    </row>
    <row r="217">
      <c r="I217" s="30"/>
    </row>
    <row r="218">
      <c r="I218" s="30"/>
    </row>
    <row r="219">
      <c r="I219" s="30"/>
    </row>
    <row r="220">
      <c r="I220" s="30"/>
    </row>
    <row r="221">
      <c r="I221" s="30"/>
    </row>
    <row r="222">
      <c r="I222" s="30"/>
    </row>
    <row r="223">
      <c r="I223" s="30"/>
    </row>
    <row r="224">
      <c r="I224" s="30"/>
    </row>
    <row r="225">
      <c r="I225" s="30"/>
    </row>
    <row r="226">
      <c r="I226" s="30"/>
    </row>
    <row r="227">
      <c r="I227" s="30"/>
    </row>
    <row r="228">
      <c r="I228" s="30"/>
    </row>
    <row r="229">
      <c r="I229" s="30"/>
    </row>
    <row r="230">
      <c r="I230" s="30"/>
    </row>
    <row r="231">
      <c r="I231" s="30"/>
    </row>
    <row r="232">
      <c r="I232" s="30"/>
    </row>
    <row r="233">
      <c r="I233" s="30"/>
    </row>
    <row r="234">
      <c r="I234" s="30"/>
    </row>
    <row r="235">
      <c r="I235" s="30"/>
    </row>
    <row r="236">
      <c r="I236" s="30"/>
    </row>
    <row r="237">
      <c r="I237" s="30"/>
    </row>
    <row r="238">
      <c r="I238" s="30"/>
    </row>
    <row r="239">
      <c r="I239" s="30"/>
    </row>
    <row r="240">
      <c r="I240" s="30"/>
    </row>
    <row r="241">
      <c r="I241" s="30"/>
    </row>
    <row r="242">
      <c r="I242" s="30"/>
    </row>
    <row r="243">
      <c r="I243" s="30"/>
    </row>
    <row r="244">
      <c r="I244" s="30"/>
    </row>
    <row r="245">
      <c r="I245" s="30"/>
    </row>
    <row r="246">
      <c r="I246" s="30"/>
    </row>
    <row r="247">
      <c r="I247" s="30"/>
    </row>
    <row r="248">
      <c r="I248" s="30"/>
    </row>
    <row r="249">
      <c r="I249" s="30"/>
    </row>
    <row r="250">
      <c r="I250" s="30"/>
    </row>
    <row r="251">
      <c r="I251" s="30"/>
    </row>
    <row r="252">
      <c r="I252" s="30"/>
    </row>
    <row r="253">
      <c r="I253" s="30"/>
    </row>
    <row r="254">
      <c r="I254" s="30"/>
    </row>
    <row r="255">
      <c r="I255" s="30"/>
    </row>
    <row r="256">
      <c r="I256" s="30"/>
    </row>
    <row r="257">
      <c r="I257" s="30"/>
    </row>
    <row r="258">
      <c r="I258" s="30"/>
    </row>
    <row r="259">
      <c r="I259" s="30"/>
    </row>
    <row r="260">
      <c r="I260" s="30"/>
    </row>
    <row r="261">
      <c r="I261" s="30"/>
    </row>
    <row r="262">
      <c r="I262" s="30"/>
    </row>
    <row r="263">
      <c r="I263" s="30"/>
    </row>
    <row r="264">
      <c r="I264" s="30"/>
    </row>
    <row r="265">
      <c r="I265" s="30"/>
    </row>
    <row r="266">
      <c r="I266" s="30"/>
    </row>
    <row r="267">
      <c r="I267" s="30"/>
    </row>
    <row r="268">
      <c r="I268" s="30"/>
    </row>
    <row r="269">
      <c r="I269" s="30"/>
    </row>
    <row r="270">
      <c r="I270" s="30"/>
    </row>
    <row r="271">
      <c r="I271" s="30"/>
    </row>
    <row r="272">
      <c r="I272" s="30"/>
    </row>
    <row r="273">
      <c r="I273" s="30"/>
    </row>
    <row r="274">
      <c r="I274" s="30"/>
    </row>
    <row r="275">
      <c r="I275" s="30"/>
    </row>
    <row r="276">
      <c r="I276" s="30"/>
    </row>
    <row r="277">
      <c r="I277" s="30"/>
    </row>
    <row r="278">
      <c r="I278" s="30"/>
    </row>
    <row r="279">
      <c r="I279" s="30"/>
    </row>
    <row r="280">
      <c r="I280" s="30"/>
    </row>
    <row r="281">
      <c r="I281" s="30"/>
    </row>
    <row r="282">
      <c r="I282" s="30"/>
    </row>
    <row r="283">
      <c r="I283" s="30"/>
    </row>
    <row r="284">
      <c r="I284" s="30"/>
    </row>
    <row r="285">
      <c r="I285" s="30"/>
    </row>
    <row r="286">
      <c r="I286" s="30"/>
    </row>
    <row r="287">
      <c r="I287" s="30"/>
    </row>
    <row r="288">
      <c r="I288" s="30"/>
    </row>
    <row r="289">
      <c r="I289" s="30"/>
    </row>
    <row r="290">
      <c r="I290" s="30"/>
    </row>
    <row r="291">
      <c r="I291" s="30"/>
    </row>
    <row r="292">
      <c r="I292" s="30"/>
    </row>
    <row r="293">
      <c r="I293" s="30"/>
    </row>
    <row r="294">
      <c r="I294" s="30"/>
    </row>
    <row r="295">
      <c r="I295" s="30"/>
    </row>
    <row r="296">
      <c r="I296" s="30"/>
    </row>
    <row r="297">
      <c r="I297" s="30"/>
    </row>
    <row r="298">
      <c r="I298" s="30"/>
    </row>
    <row r="299">
      <c r="I299" s="30"/>
    </row>
    <row r="300">
      <c r="I300" s="30"/>
    </row>
    <row r="301">
      <c r="I301" s="30"/>
    </row>
    <row r="302">
      <c r="I302" s="30"/>
    </row>
    <row r="303">
      <c r="I303" s="30"/>
    </row>
    <row r="304">
      <c r="I304" s="30"/>
    </row>
    <row r="305">
      <c r="I305" s="30"/>
    </row>
    <row r="306">
      <c r="I306" s="30"/>
    </row>
    <row r="307">
      <c r="I307" s="30"/>
    </row>
    <row r="308">
      <c r="I308" s="30"/>
    </row>
    <row r="309">
      <c r="I309" s="30"/>
    </row>
    <row r="310">
      <c r="I310" s="30"/>
    </row>
    <row r="311">
      <c r="I311" s="30"/>
    </row>
    <row r="312">
      <c r="I312" s="30"/>
    </row>
    <row r="313">
      <c r="I313" s="30"/>
    </row>
    <row r="314">
      <c r="I314" s="30"/>
    </row>
    <row r="315">
      <c r="I315" s="30"/>
    </row>
    <row r="316">
      <c r="I316" s="30"/>
    </row>
    <row r="317">
      <c r="I317" s="30"/>
    </row>
    <row r="318">
      <c r="I318" s="30"/>
    </row>
    <row r="319">
      <c r="I319" s="30"/>
    </row>
    <row r="320">
      <c r="I320" s="30"/>
    </row>
    <row r="321">
      <c r="I321" s="30"/>
    </row>
    <row r="322">
      <c r="I322" s="30"/>
    </row>
    <row r="323">
      <c r="I323" s="30"/>
    </row>
    <row r="324">
      <c r="I324" s="30"/>
    </row>
    <row r="325">
      <c r="I325" s="30"/>
    </row>
    <row r="326">
      <c r="I326" s="30"/>
    </row>
    <row r="327">
      <c r="I327" s="30"/>
    </row>
    <row r="328">
      <c r="I328" s="30"/>
    </row>
    <row r="329">
      <c r="I329" s="30"/>
    </row>
    <row r="330">
      <c r="I330" s="30"/>
    </row>
    <row r="331">
      <c r="I331" s="30"/>
    </row>
    <row r="332">
      <c r="I332" s="30"/>
    </row>
    <row r="333">
      <c r="I333" s="30"/>
    </row>
    <row r="334">
      <c r="I334" s="30"/>
    </row>
    <row r="335">
      <c r="I335" s="30"/>
    </row>
    <row r="336">
      <c r="I336" s="30"/>
    </row>
    <row r="337">
      <c r="I337" s="30"/>
    </row>
    <row r="338">
      <c r="I338" s="30"/>
    </row>
    <row r="339">
      <c r="I339" s="30"/>
    </row>
    <row r="340">
      <c r="I340" s="30"/>
    </row>
    <row r="341">
      <c r="I341" s="30"/>
    </row>
    <row r="342">
      <c r="I342" s="30"/>
    </row>
    <row r="343">
      <c r="I343" s="30"/>
    </row>
    <row r="344">
      <c r="I344" s="30"/>
    </row>
    <row r="345">
      <c r="I345" s="30"/>
    </row>
    <row r="346">
      <c r="I346" s="30"/>
    </row>
    <row r="347">
      <c r="I347" s="30"/>
    </row>
    <row r="348">
      <c r="I348" s="30"/>
    </row>
    <row r="349">
      <c r="I349" s="30"/>
    </row>
    <row r="350">
      <c r="I350" s="30"/>
    </row>
    <row r="351">
      <c r="I351" s="30"/>
    </row>
    <row r="352">
      <c r="I352" s="30"/>
    </row>
    <row r="353">
      <c r="I353" s="30"/>
    </row>
    <row r="354">
      <c r="I354" s="30"/>
    </row>
    <row r="355">
      <c r="I355" s="30"/>
    </row>
    <row r="356">
      <c r="I356" s="30"/>
    </row>
    <row r="357">
      <c r="I357" s="30"/>
    </row>
    <row r="358">
      <c r="I358" s="30"/>
    </row>
    <row r="359">
      <c r="I359" s="30"/>
    </row>
    <row r="360">
      <c r="I360" s="30"/>
    </row>
    <row r="361">
      <c r="I361" s="30"/>
    </row>
    <row r="362">
      <c r="I362" s="30"/>
    </row>
    <row r="363">
      <c r="I363" s="30"/>
    </row>
    <row r="364">
      <c r="I364" s="30"/>
    </row>
    <row r="365">
      <c r="I365" s="30"/>
    </row>
    <row r="366">
      <c r="I366" s="30"/>
    </row>
    <row r="367">
      <c r="I367" s="30"/>
    </row>
    <row r="368">
      <c r="I368" s="30"/>
    </row>
    <row r="369">
      <c r="I369" s="30"/>
    </row>
    <row r="370">
      <c r="I370" s="30"/>
    </row>
    <row r="371">
      <c r="I371" s="30"/>
    </row>
    <row r="372">
      <c r="I372" s="30"/>
    </row>
    <row r="373">
      <c r="I373" s="30"/>
    </row>
    <row r="374">
      <c r="I374" s="30"/>
    </row>
    <row r="375">
      <c r="I375" s="30"/>
    </row>
    <row r="376">
      <c r="I376" s="30"/>
    </row>
    <row r="377">
      <c r="I377" s="30"/>
    </row>
    <row r="378">
      <c r="I378" s="30"/>
    </row>
    <row r="379">
      <c r="I379" s="30"/>
    </row>
    <row r="380">
      <c r="I380" s="30"/>
    </row>
    <row r="381">
      <c r="I381" s="30"/>
    </row>
    <row r="382">
      <c r="I382" s="30"/>
    </row>
    <row r="383">
      <c r="I383" s="30"/>
    </row>
    <row r="384">
      <c r="I384" s="30"/>
    </row>
    <row r="385">
      <c r="I385" s="30"/>
    </row>
    <row r="386">
      <c r="I386" s="30"/>
    </row>
    <row r="387">
      <c r="I387" s="30"/>
    </row>
    <row r="388">
      <c r="I388" s="30"/>
    </row>
    <row r="389">
      <c r="I389" s="30"/>
    </row>
    <row r="390">
      <c r="I390" s="30"/>
    </row>
    <row r="391">
      <c r="I391" s="30"/>
    </row>
    <row r="392">
      <c r="I392" s="30"/>
    </row>
    <row r="393">
      <c r="I393" s="30"/>
    </row>
    <row r="394">
      <c r="I394" s="30"/>
    </row>
    <row r="395">
      <c r="I395" s="30"/>
    </row>
    <row r="396">
      <c r="I396" s="30"/>
    </row>
    <row r="397">
      <c r="I397" s="30"/>
    </row>
    <row r="398">
      <c r="I398" s="30"/>
    </row>
    <row r="399">
      <c r="I399" s="30"/>
    </row>
    <row r="400">
      <c r="I400" s="30"/>
    </row>
    <row r="401">
      <c r="I401" s="30"/>
    </row>
    <row r="402">
      <c r="I402" s="30"/>
    </row>
    <row r="403">
      <c r="I403" s="30"/>
    </row>
    <row r="404">
      <c r="I404" s="30"/>
    </row>
    <row r="405">
      <c r="I405" s="30"/>
    </row>
    <row r="406">
      <c r="I406" s="30"/>
    </row>
    <row r="407">
      <c r="I407" s="30"/>
    </row>
    <row r="408">
      <c r="I408" s="30"/>
    </row>
    <row r="409">
      <c r="I409" s="30"/>
    </row>
    <row r="410">
      <c r="I410" s="30"/>
    </row>
    <row r="411">
      <c r="I411" s="30"/>
    </row>
    <row r="412">
      <c r="I412" s="30"/>
    </row>
    <row r="413">
      <c r="I413" s="30"/>
    </row>
    <row r="414">
      <c r="I414" s="30"/>
    </row>
    <row r="415">
      <c r="I415" s="30"/>
    </row>
    <row r="416">
      <c r="I416" s="30"/>
    </row>
    <row r="417">
      <c r="I417" s="30"/>
    </row>
    <row r="418">
      <c r="I418" s="30"/>
    </row>
    <row r="419">
      <c r="I419" s="30"/>
    </row>
    <row r="420">
      <c r="I420" s="30"/>
    </row>
    <row r="421">
      <c r="I421" s="30"/>
    </row>
    <row r="422">
      <c r="I422" s="30"/>
    </row>
    <row r="423">
      <c r="I423" s="30"/>
    </row>
    <row r="424">
      <c r="I424" s="30"/>
    </row>
    <row r="425">
      <c r="I425" s="30"/>
    </row>
    <row r="426">
      <c r="I426" s="30"/>
    </row>
    <row r="427">
      <c r="I427" s="30"/>
    </row>
    <row r="428">
      <c r="I428" s="30"/>
    </row>
    <row r="429">
      <c r="I429" s="30"/>
    </row>
    <row r="430">
      <c r="I430" s="30"/>
    </row>
    <row r="431">
      <c r="I431" s="30"/>
    </row>
    <row r="432">
      <c r="I432" s="30"/>
    </row>
    <row r="433">
      <c r="I433" s="30"/>
    </row>
    <row r="434">
      <c r="I434" s="30"/>
    </row>
    <row r="435">
      <c r="I435" s="30"/>
    </row>
    <row r="436">
      <c r="I436" s="30"/>
    </row>
    <row r="437">
      <c r="I437" s="30"/>
    </row>
    <row r="438">
      <c r="I438" s="30"/>
    </row>
    <row r="439">
      <c r="I439" s="30"/>
    </row>
    <row r="440">
      <c r="I440" s="30"/>
    </row>
    <row r="441">
      <c r="I441" s="30"/>
    </row>
    <row r="442">
      <c r="I442" s="30"/>
    </row>
    <row r="443">
      <c r="I443" s="30"/>
    </row>
    <row r="444">
      <c r="I444" s="30"/>
    </row>
    <row r="445">
      <c r="I445" s="30"/>
    </row>
    <row r="446">
      <c r="I446" s="30"/>
    </row>
    <row r="447">
      <c r="I447" s="30"/>
    </row>
    <row r="448">
      <c r="I448" s="30"/>
    </row>
    <row r="449">
      <c r="I449" s="30"/>
    </row>
    <row r="450">
      <c r="I450" s="30"/>
    </row>
    <row r="451">
      <c r="I451" s="30"/>
    </row>
    <row r="452">
      <c r="I452" s="30"/>
    </row>
    <row r="453">
      <c r="I453" s="30"/>
    </row>
    <row r="454">
      <c r="I454" s="30"/>
    </row>
    <row r="455">
      <c r="I455" s="30"/>
    </row>
    <row r="456">
      <c r="I456" s="30"/>
    </row>
    <row r="457">
      <c r="I457" s="30"/>
    </row>
    <row r="458">
      <c r="I458" s="30"/>
    </row>
    <row r="459">
      <c r="I459" s="30"/>
    </row>
    <row r="460">
      <c r="I460" s="30"/>
    </row>
    <row r="461">
      <c r="I461" s="30"/>
    </row>
    <row r="462">
      <c r="I462" s="30"/>
    </row>
    <row r="463">
      <c r="I463" s="30"/>
    </row>
    <row r="464">
      <c r="I464" s="30"/>
    </row>
    <row r="465">
      <c r="I465" s="30"/>
    </row>
    <row r="466">
      <c r="I466" s="30"/>
    </row>
    <row r="467">
      <c r="I467" s="30"/>
    </row>
    <row r="468">
      <c r="I468" s="30"/>
    </row>
    <row r="469">
      <c r="I469" s="30"/>
    </row>
    <row r="470">
      <c r="I470" s="30"/>
    </row>
    <row r="471">
      <c r="I471" s="30"/>
    </row>
    <row r="472">
      <c r="I472" s="30"/>
    </row>
    <row r="473">
      <c r="I473" s="30"/>
    </row>
    <row r="474">
      <c r="I474" s="30"/>
    </row>
    <row r="475">
      <c r="I475" s="30"/>
    </row>
    <row r="476">
      <c r="I476" s="30"/>
    </row>
    <row r="477">
      <c r="I477" s="30"/>
    </row>
    <row r="478">
      <c r="I478" s="30"/>
    </row>
    <row r="479">
      <c r="I479" s="30"/>
    </row>
    <row r="480">
      <c r="I480" s="30"/>
    </row>
    <row r="481">
      <c r="I481" s="30"/>
    </row>
    <row r="482">
      <c r="I482" s="30"/>
    </row>
    <row r="483">
      <c r="I483" s="30"/>
    </row>
    <row r="484">
      <c r="I484" s="30"/>
    </row>
    <row r="485">
      <c r="I485" s="30"/>
    </row>
    <row r="486">
      <c r="I486" s="30"/>
    </row>
    <row r="487">
      <c r="I487" s="30"/>
    </row>
    <row r="488">
      <c r="I488" s="30"/>
    </row>
    <row r="489">
      <c r="I489" s="30"/>
    </row>
    <row r="490">
      <c r="I490" s="30"/>
    </row>
    <row r="491">
      <c r="I491" s="30"/>
    </row>
    <row r="492">
      <c r="I492" s="30"/>
    </row>
    <row r="493">
      <c r="I493" s="30"/>
    </row>
    <row r="494">
      <c r="I494" s="30"/>
    </row>
    <row r="495">
      <c r="I495" s="30"/>
    </row>
    <row r="496">
      <c r="I496" s="30"/>
    </row>
    <row r="497">
      <c r="I497" s="30"/>
    </row>
    <row r="498">
      <c r="I498" s="30"/>
    </row>
    <row r="499">
      <c r="I499" s="30"/>
    </row>
    <row r="500">
      <c r="I500" s="30"/>
    </row>
    <row r="501">
      <c r="I501" s="30"/>
    </row>
    <row r="502">
      <c r="I502" s="30"/>
    </row>
    <row r="503">
      <c r="I503" s="30"/>
    </row>
    <row r="504">
      <c r="I504" s="30"/>
    </row>
    <row r="505">
      <c r="I505" s="30"/>
    </row>
    <row r="506">
      <c r="I506" s="30"/>
    </row>
    <row r="507">
      <c r="I507" s="30"/>
    </row>
    <row r="508">
      <c r="I508" s="30"/>
    </row>
    <row r="509">
      <c r="I509" s="30"/>
    </row>
    <row r="510">
      <c r="I510" s="30"/>
    </row>
    <row r="511">
      <c r="I511" s="30"/>
    </row>
    <row r="512">
      <c r="I512" s="30"/>
    </row>
    <row r="513">
      <c r="I513" s="30"/>
    </row>
    <row r="514">
      <c r="I514" s="30"/>
    </row>
    <row r="515">
      <c r="I515" s="30"/>
    </row>
    <row r="516">
      <c r="I516" s="30"/>
    </row>
    <row r="517">
      <c r="I517" s="30"/>
    </row>
    <row r="518">
      <c r="I518" s="30"/>
    </row>
    <row r="519">
      <c r="I519" s="30"/>
    </row>
    <row r="520">
      <c r="I520" s="30"/>
    </row>
    <row r="521">
      <c r="I521" s="30"/>
    </row>
    <row r="522">
      <c r="I522" s="30"/>
    </row>
    <row r="523">
      <c r="I523" s="30"/>
    </row>
    <row r="524">
      <c r="I524" s="30"/>
    </row>
    <row r="525">
      <c r="I525" s="30"/>
    </row>
    <row r="526">
      <c r="I526" s="30"/>
    </row>
    <row r="527">
      <c r="I527" s="30"/>
    </row>
    <row r="528">
      <c r="I528" s="30"/>
    </row>
    <row r="529">
      <c r="I529" s="30"/>
    </row>
    <row r="530">
      <c r="I530" s="30"/>
    </row>
    <row r="531">
      <c r="I531" s="30"/>
    </row>
    <row r="532">
      <c r="I532" s="30"/>
    </row>
    <row r="533">
      <c r="I533" s="30"/>
    </row>
    <row r="534">
      <c r="I534" s="30"/>
    </row>
    <row r="535">
      <c r="I535" s="30"/>
    </row>
    <row r="536">
      <c r="I536" s="30"/>
    </row>
    <row r="537">
      <c r="I537" s="30"/>
    </row>
    <row r="538">
      <c r="I538" s="30"/>
    </row>
    <row r="539">
      <c r="I539" s="30"/>
    </row>
    <row r="540">
      <c r="I540" s="30"/>
    </row>
    <row r="541">
      <c r="I541" s="30"/>
    </row>
    <row r="542">
      <c r="I542" s="30"/>
    </row>
    <row r="543">
      <c r="I543" s="30"/>
    </row>
    <row r="544">
      <c r="I544" s="30"/>
    </row>
    <row r="545">
      <c r="I545" s="30"/>
    </row>
    <row r="546">
      <c r="I546" s="30"/>
    </row>
    <row r="547">
      <c r="I547" s="30"/>
    </row>
    <row r="548">
      <c r="I548" s="30"/>
    </row>
    <row r="549">
      <c r="I549" s="30"/>
    </row>
    <row r="550">
      <c r="I550" s="30"/>
    </row>
    <row r="551">
      <c r="I551" s="30"/>
    </row>
    <row r="552">
      <c r="I552" s="30"/>
    </row>
    <row r="553">
      <c r="I553" s="30"/>
    </row>
    <row r="554">
      <c r="I554" s="30"/>
    </row>
    <row r="555">
      <c r="I555" s="30"/>
    </row>
    <row r="556">
      <c r="I556" s="30"/>
    </row>
    <row r="557">
      <c r="I557" s="30"/>
    </row>
    <row r="558">
      <c r="I558" s="30"/>
    </row>
    <row r="559">
      <c r="I559" s="30"/>
    </row>
    <row r="560">
      <c r="I560" s="30"/>
    </row>
    <row r="561">
      <c r="I561" s="30"/>
    </row>
    <row r="562">
      <c r="I562" s="30"/>
    </row>
    <row r="563">
      <c r="I563" s="30"/>
    </row>
    <row r="564">
      <c r="I564" s="30"/>
    </row>
    <row r="565">
      <c r="I565" s="30"/>
    </row>
    <row r="566">
      <c r="I566" s="30"/>
    </row>
    <row r="567">
      <c r="I567" s="30"/>
    </row>
    <row r="568">
      <c r="I568" s="30"/>
    </row>
    <row r="569">
      <c r="I569" s="30"/>
    </row>
    <row r="570">
      <c r="I570" s="30"/>
    </row>
    <row r="571">
      <c r="I571" s="30"/>
    </row>
    <row r="572">
      <c r="I572" s="30"/>
    </row>
    <row r="573">
      <c r="I573" s="30"/>
    </row>
    <row r="574">
      <c r="I574" s="30"/>
    </row>
    <row r="575">
      <c r="I575" s="30"/>
    </row>
    <row r="576">
      <c r="I576" s="30"/>
    </row>
    <row r="577">
      <c r="I577" s="30"/>
    </row>
    <row r="578">
      <c r="I578" s="30"/>
    </row>
    <row r="579">
      <c r="I579" s="30"/>
    </row>
    <row r="580">
      <c r="I580" s="30"/>
    </row>
    <row r="581">
      <c r="I581" s="30"/>
    </row>
    <row r="582">
      <c r="I582" s="30"/>
    </row>
    <row r="583">
      <c r="I583" s="30"/>
    </row>
    <row r="584">
      <c r="I584" s="30"/>
    </row>
    <row r="585">
      <c r="I585" s="30"/>
    </row>
    <row r="586">
      <c r="I586" s="30"/>
    </row>
    <row r="587">
      <c r="I587" s="30"/>
    </row>
    <row r="588">
      <c r="I588" s="30"/>
    </row>
    <row r="589">
      <c r="I589" s="30"/>
    </row>
    <row r="590">
      <c r="I590" s="30"/>
    </row>
    <row r="591">
      <c r="I591" s="30"/>
    </row>
    <row r="592">
      <c r="I592" s="30"/>
    </row>
    <row r="593">
      <c r="I593" s="30"/>
    </row>
    <row r="594">
      <c r="I594" s="30"/>
    </row>
    <row r="595">
      <c r="I595" s="30"/>
    </row>
    <row r="596">
      <c r="I596" s="30"/>
    </row>
    <row r="597">
      <c r="I597" s="30"/>
    </row>
    <row r="598">
      <c r="I598" s="30"/>
    </row>
    <row r="599">
      <c r="I599" s="30"/>
    </row>
    <row r="600">
      <c r="I600" s="30"/>
    </row>
    <row r="601">
      <c r="I601" s="30"/>
    </row>
    <row r="602">
      <c r="I602" s="30"/>
    </row>
    <row r="603">
      <c r="I603" s="30"/>
    </row>
    <row r="604">
      <c r="I604" s="30"/>
    </row>
    <row r="605">
      <c r="I605" s="30"/>
    </row>
    <row r="606">
      <c r="I606" s="30"/>
    </row>
    <row r="607">
      <c r="I607" s="30"/>
    </row>
    <row r="608">
      <c r="I608" s="30"/>
    </row>
    <row r="609">
      <c r="I609" s="30"/>
    </row>
    <row r="610">
      <c r="I610" s="30"/>
    </row>
    <row r="611">
      <c r="I611" s="30"/>
    </row>
    <row r="612">
      <c r="I612" s="30"/>
    </row>
    <row r="613">
      <c r="I613" s="30"/>
    </row>
    <row r="614">
      <c r="I614" s="30"/>
    </row>
    <row r="615">
      <c r="I615" s="30"/>
    </row>
    <row r="616">
      <c r="I616" s="30"/>
    </row>
    <row r="617">
      <c r="I617" s="30"/>
    </row>
    <row r="618">
      <c r="I618" s="30"/>
    </row>
    <row r="619">
      <c r="I619" s="30"/>
    </row>
    <row r="620">
      <c r="I620" s="30"/>
    </row>
    <row r="621">
      <c r="I621" s="30"/>
    </row>
    <row r="622">
      <c r="I622" s="30"/>
    </row>
    <row r="623">
      <c r="I623" s="30"/>
    </row>
    <row r="624">
      <c r="I624" s="30"/>
    </row>
    <row r="625">
      <c r="I625" s="30"/>
    </row>
    <row r="626">
      <c r="I626" s="30"/>
    </row>
    <row r="627">
      <c r="I627" s="30"/>
    </row>
    <row r="628">
      <c r="I628" s="30"/>
    </row>
    <row r="629">
      <c r="I629" s="30"/>
    </row>
    <row r="630">
      <c r="I630" s="30"/>
    </row>
    <row r="631">
      <c r="I631" s="30"/>
    </row>
    <row r="632">
      <c r="I632" s="30"/>
    </row>
    <row r="633">
      <c r="I633" s="30"/>
    </row>
    <row r="634">
      <c r="I634" s="30"/>
    </row>
    <row r="635">
      <c r="I635" s="30"/>
    </row>
    <row r="636">
      <c r="I636" s="30"/>
    </row>
    <row r="637">
      <c r="I637" s="30"/>
    </row>
    <row r="638">
      <c r="I638" s="30"/>
    </row>
    <row r="639">
      <c r="I639" s="30"/>
    </row>
    <row r="640">
      <c r="I640" s="30"/>
    </row>
    <row r="641">
      <c r="I641" s="30"/>
    </row>
    <row r="642">
      <c r="I642" s="30"/>
    </row>
    <row r="643">
      <c r="I643" s="30"/>
    </row>
    <row r="644">
      <c r="I644" s="30"/>
    </row>
    <row r="645">
      <c r="I645" s="30"/>
    </row>
    <row r="646">
      <c r="I646" s="30"/>
    </row>
    <row r="647">
      <c r="I647" s="30"/>
    </row>
    <row r="648">
      <c r="I648" s="30"/>
    </row>
    <row r="649">
      <c r="I649" s="30"/>
    </row>
    <row r="650">
      <c r="I650" s="30"/>
    </row>
    <row r="651">
      <c r="I651" s="30"/>
    </row>
    <row r="652">
      <c r="I652" s="30"/>
    </row>
    <row r="653">
      <c r="I653" s="30"/>
    </row>
    <row r="654">
      <c r="I654" s="30"/>
    </row>
    <row r="655">
      <c r="I655" s="30"/>
    </row>
    <row r="656">
      <c r="I656" s="30"/>
    </row>
    <row r="657">
      <c r="I657" s="30"/>
    </row>
    <row r="658">
      <c r="I658" s="30"/>
    </row>
    <row r="659">
      <c r="I659" s="30"/>
    </row>
    <row r="660">
      <c r="I660" s="30"/>
    </row>
    <row r="661">
      <c r="I661" s="30"/>
    </row>
    <row r="662">
      <c r="I662" s="30"/>
    </row>
    <row r="663">
      <c r="I663" s="30"/>
    </row>
    <row r="664">
      <c r="I664" s="30"/>
    </row>
    <row r="665">
      <c r="I665" s="30"/>
    </row>
    <row r="666">
      <c r="I666" s="30"/>
    </row>
    <row r="667">
      <c r="I667" s="30"/>
    </row>
    <row r="668">
      <c r="I668" s="30"/>
    </row>
    <row r="669">
      <c r="I669" s="30"/>
    </row>
    <row r="670">
      <c r="I670" s="30"/>
    </row>
    <row r="671">
      <c r="I671" s="30"/>
    </row>
    <row r="672">
      <c r="I672" s="30"/>
    </row>
    <row r="673">
      <c r="I673" s="30"/>
    </row>
    <row r="674">
      <c r="I674" s="30"/>
    </row>
    <row r="675">
      <c r="I675" s="30"/>
    </row>
    <row r="676">
      <c r="I676" s="30"/>
    </row>
    <row r="677">
      <c r="I677" s="30"/>
    </row>
    <row r="678">
      <c r="I678" s="30"/>
    </row>
    <row r="679">
      <c r="I679" s="30"/>
    </row>
    <row r="680">
      <c r="I680" s="30"/>
    </row>
    <row r="681">
      <c r="I681" s="30"/>
    </row>
    <row r="682">
      <c r="I682" s="30"/>
    </row>
    <row r="683">
      <c r="I683" s="30"/>
    </row>
    <row r="684">
      <c r="I684" s="30"/>
    </row>
    <row r="685">
      <c r="I685" s="30"/>
    </row>
    <row r="686">
      <c r="I686" s="30"/>
    </row>
    <row r="687">
      <c r="I687" s="30"/>
    </row>
    <row r="688">
      <c r="I688" s="30"/>
    </row>
    <row r="689">
      <c r="I689" s="30"/>
    </row>
    <row r="690">
      <c r="I690" s="30"/>
    </row>
    <row r="691">
      <c r="I691" s="30"/>
    </row>
    <row r="692">
      <c r="I692" s="30"/>
    </row>
    <row r="693">
      <c r="I693" s="30"/>
    </row>
    <row r="694">
      <c r="I694" s="30"/>
    </row>
    <row r="695">
      <c r="I695" s="30"/>
    </row>
    <row r="696">
      <c r="I696" s="30"/>
    </row>
    <row r="697">
      <c r="I697" s="30"/>
    </row>
    <row r="698">
      <c r="I698" s="30"/>
    </row>
    <row r="699">
      <c r="I699" s="30"/>
    </row>
    <row r="700">
      <c r="I700" s="30"/>
    </row>
    <row r="701">
      <c r="I701" s="30"/>
    </row>
    <row r="702">
      <c r="I702" s="30"/>
    </row>
    <row r="703">
      <c r="I703" s="30"/>
    </row>
    <row r="704">
      <c r="I704" s="30"/>
    </row>
    <row r="705">
      <c r="I705" s="30"/>
    </row>
    <row r="706">
      <c r="I706" s="30"/>
    </row>
    <row r="707">
      <c r="I707" s="30"/>
    </row>
    <row r="708">
      <c r="I708" s="30"/>
    </row>
    <row r="709">
      <c r="I709" s="30"/>
    </row>
    <row r="710">
      <c r="I710" s="30"/>
    </row>
    <row r="711">
      <c r="I711" s="30"/>
    </row>
    <row r="712">
      <c r="I712" s="30"/>
    </row>
    <row r="713">
      <c r="I713" s="30"/>
    </row>
    <row r="714">
      <c r="I714" s="30"/>
    </row>
    <row r="715">
      <c r="I715" s="30"/>
    </row>
    <row r="716">
      <c r="I716" s="30"/>
    </row>
    <row r="717">
      <c r="I717" s="30"/>
    </row>
    <row r="718">
      <c r="I718" s="30"/>
    </row>
    <row r="719">
      <c r="I719" s="30"/>
    </row>
    <row r="720">
      <c r="I720" s="30"/>
    </row>
    <row r="721">
      <c r="I721" s="30"/>
    </row>
    <row r="722">
      <c r="I722" s="30"/>
    </row>
    <row r="723">
      <c r="I723" s="30"/>
    </row>
    <row r="724">
      <c r="I724" s="30"/>
    </row>
    <row r="725">
      <c r="I725" s="30"/>
    </row>
    <row r="726">
      <c r="I726" s="30"/>
    </row>
    <row r="727">
      <c r="I727" s="30"/>
    </row>
    <row r="728">
      <c r="I728" s="30"/>
    </row>
    <row r="729">
      <c r="I729" s="30"/>
    </row>
    <row r="730">
      <c r="I730" s="30"/>
    </row>
    <row r="731">
      <c r="I731" s="30"/>
    </row>
    <row r="732">
      <c r="I732" s="30"/>
    </row>
    <row r="733">
      <c r="I733" s="30"/>
    </row>
    <row r="734">
      <c r="I734" s="30"/>
    </row>
    <row r="735">
      <c r="I735" s="30"/>
    </row>
    <row r="736">
      <c r="I736" s="30"/>
    </row>
    <row r="737">
      <c r="I737" s="30"/>
    </row>
    <row r="738">
      <c r="I738" s="30"/>
    </row>
    <row r="739">
      <c r="I739" s="30"/>
    </row>
    <row r="740">
      <c r="I740" s="30"/>
    </row>
    <row r="741">
      <c r="I741" s="30"/>
    </row>
    <row r="742">
      <c r="I742" s="30"/>
    </row>
    <row r="743">
      <c r="I743" s="30"/>
    </row>
    <row r="744">
      <c r="I744" s="30"/>
    </row>
    <row r="745">
      <c r="I745" s="30"/>
    </row>
    <row r="746">
      <c r="I746" s="30"/>
    </row>
    <row r="747">
      <c r="I747" s="30"/>
    </row>
    <row r="748">
      <c r="I748" s="30"/>
    </row>
    <row r="749">
      <c r="I749" s="30"/>
    </row>
    <row r="750">
      <c r="I750" s="30"/>
    </row>
    <row r="751">
      <c r="I751" s="30"/>
    </row>
    <row r="752">
      <c r="I752" s="30"/>
    </row>
    <row r="753">
      <c r="I753" s="30"/>
    </row>
    <row r="754">
      <c r="I754" s="30"/>
    </row>
    <row r="755">
      <c r="I755" s="30"/>
    </row>
    <row r="756">
      <c r="I756" s="30"/>
    </row>
    <row r="757">
      <c r="I757" s="30"/>
    </row>
    <row r="758">
      <c r="I758" s="30"/>
    </row>
    <row r="759">
      <c r="I759" s="30"/>
    </row>
    <row r="760">
      <c r="I760" s="30"/>
    </row>
    <row r="761">
      <c r="I761" s="30"/>
    </row>
    <row r="762">
      <c r="I762" s="30"/>
    </row>
    <row r="763">
      <c r="I763" s="30"/>
    </row>
    <row r="764">
      <c r="I764" s="30"/>
    </row>
    <row r="765">
      <c r="I765" s="30"/>
    </row>
    <row r="766">
      <c r="I766" s="30"/>
    </row>
    <row r="767">
      <c r="I767" s="30"/>
    </row>
    <row r="768">
      <c r="I768" s="30"/>
    </row>
    <row r="769">
      <c r="I769" s="30"/>
    </row>
    <row r="770">
      <c r="I770" s="30"/>
    </row>
    <row r="771">
      <c r="I771" s="30"/>
    </row>
    <row r="772">
      <c r="I772" s="30"/>
    </row>
    <row r="773">
      <c r="I773" s="30"/>
    </row>
    <row r="774">
      <c r="I774" s="30"/>
    </row>
    <row r="775">
      <c r="I775" s="30"/>
    </row>
    <row r="776">
      <c r="I776" s="30"/>
    </row>
    <row r="777">
      <c r="I777" s="30"/>
    </row>
    <row r="778">
      <c r="I778" s="30"/>
    </row>
    <row r="779">
      <c r="I779" s="30"/>
    </row>
    <row r="780">
      <c r="I780" s="30"/>
    </row>
    <row r="781">
      <c r="I781" s="30"/>
    </row>
    <row r="782">
      <c r="I782" s="30"/>
    </row>
    <row r="783">
      <c r="I783" s="30"/>
    </row>
    <row r="784">
      <c r="I784" s="30"/>
    </row>
    <row r="785">
      <c r="I785" s="30"/>
    </row>
    <row r="786">
      <c r="I786" s="30"/>
    </row>
    <row r="787">
      <c r="I787" s="30"/>
    </row>
    <row r="788">
      <c r="I788" s="30"/>
    </row>
    <row r="789">
      <c r="I789" s="30"/>
    </row>
    <row r="790">
      <c r="I790" s="30"/>
    </row>
    <row r="791">
      <c r="I791" s="30"/>
    </row>
    <row r="792">
      <c r="I792" s="30"/>
    </row>
    <row r="793">
      <c r="I793" s="30"/>
    </row>
    <row r="794">
      <c r="I794" s="30"/>
    </row>
    <row r="795">
      <c r="I795" s="30"/>
    </row>
    <row r="796">
      <c r="I796" s="30"/>
    </row>
    <row r="797">
      <c r="I797" s="30"/>
    </row>
    <row r="798">
      <c r="I798" s="30"/>
    </row>
    <row r="799">
      <c r="I799" s="30"/>
    </row>
    <row r="800">
      <c r="I800" s="30"/>
    </row>
    <row r="801">
      <c r="I801" s="30"/>
    </row>
    <row r="802">
      <c r="I802" s="30"/>
    </row>
    <row r="803">
      <c r="I803" s="30"/>
    </row>
    <row r="804">
      <c r="I804" s="30"/>
    </row>
    <row r="805">
      <c r="I805" s="30"/>
    </row>
    <row r="806">
      <c r="I806" s="30"/>
    </row>
    <row r="807">
      <c r="I807" s="30"/>
    </row>
    <row r="808">
      <c r="I808" s="30"/>
    </row>
    <row r="809">
      <c r="I809" s="30"/>
    </row>
    <row r="810">
      <c r="I810" s="30"/>
    </row>
    <row r="811">
      <c r="I811" s="30"/>
    </row>
    <row r="812">
      <c r="I812" s="30"/>
    </row>
    <row r="813">
      <c r="I813" s="30"/>
    </row>
    <row r="814">
      <c r="I814" s="30"/>
    </row>
    <row r="815">
      <c r="I815" s="30"/>
    </row>
    <row r="816">
      <c r="I816" s="30"/>
    </row>
    <row r="817">
      <c r="I817" s="30"/>
    </row>
    <row r="818">
      <c r="I818" s="30"/>
    </row>
    <row r="819">
      <c r="I819" s="30"/>
    </row>
    <row r="820">
      <c r="I820" s="30"/>
    </row>
    <row r="821">
      <c r="I821" s="30"/>
    </row>
    <row r="822">
      <c r="I822" s="30"/>
    </row>
    <row r="823">
      <c r="I823" s="30"/>
    </row>
    <row r="824">
      <c r="I824" s="30"/>
    </row>
    <row r="825">
      <c r="I825" s="30"/>
    </row>
    <row r="826">
      <c r="I826" s="30"/>
    </row>
    <row r="827">
      <c r="I827" s="30"/>
    </row>
    <row r="828">
      <c r="I828" s="30"/>
    </row>
    <row r="829">
      <c r="I829" s="30"/>
    </row>
    <row r="830">
      <c r="I830" s="30"/>
    </row>
    <row r="831">
      <c r="I831" s="30"/>
    </row>
    <row r="832">
      <c r="I832" s="30"/>
    </row>
    <row r="833">
      <c r="I833" s="30"/>
    </row>
    <row r="834">
      <c r="I834" s="30"/>
    </row>
    <row r="835">
      <c r="I835" s="30"/>
    </row>
    <row r="836">
      <c r="I836" s="30"/>
    </row>
    <row r="837">
      <c r="I837" s="30"/>
    </row>
    <row r="838">
      <c r="I838" s="30"/>
    </row>
    <row r="839">
      <c r="I839" s="30"/>
    </row>
    <row r="840">
      <c r="I840" s="30"/>
    </row>
    <row r="841">
      <c r="I841" s="30"/>
    </row>
    <row r="842">
      <c r="I842" s="30"/>
    </row>
    <row r="843">
      <c r="I843" s="30"/>
    </row>
    <row r="844">
      <c r="I844" s="30"/>
    </row>
    <row r="845">
      <c r="I845" s="30"/>
    </row>
    <row r="846">
      <c r="I846" s="30"/>
    </row>
    <row r="847">
      <c r="I847" s="30"/>
    </row>
    <row r="848">
      <c r="I848" s="30"/>
    </row>
    <row r="849">
      <c r="I849" s="30"/>
    </row>
    <row r="850">
      <c r="I850" s="30"/>
    </row>
    <row r="851">
      <c r="I851" s="30"/>
    </row>
    <row r="852">
      <c r="I852" s="30"/>
    </row>
    <row r="853">
      <c r="I853" s="30"/>
    </row>
    <row r="854">
      <c r="I854" s="30"/>
    </row>
    <row r="855">
      <c r="I855" s="30"/>
    </row>
    <row r="856">
      <c r="I856" s="30"/>
    </row>
    <row r="857">
      <c r="I857" s="30"/>
    </row>
    <row r="858">
      <c r="I858" s="30"/>
    </row>
    <row r="859">
      <c r="I859" s="30"/>
    </row>
    <row r="860">
      <c r="I860" s="30"/>
    </row>
    <row r="861">
      <c r="I861" s="30"/>
    </row>
    <row r="862">
      <c r="I862" s="30"/>
    </row>
    <row r="863">
      <c r="I863" s="30"/>
    </row>
    <row r="864">
      <c r="I864" s="30"/>
    </row>
    <row r="865">
      <c r="I865" s="30"/>
    </row>
    <row r="866">
      <c r="I866" s="30"/>
    </row>
    <row r="867">
      <c r="I867" s="30"/>
    </row>
    <row r="868">
      <c r="I868" s="30"/>
    </row>
    <row r="869">
      <c r="I869" s="30"/>
    </row>
    <row r="870">
      <c r="I870" s="30"/>
    </row>
    <row r="871">
      <c r="I871" s="30"/>
    </row>
    <row r="872">
      <c r="I872" s="30"/>
    </row>
    <row r="873">
      <c r="I873" s="30"/>
    </row>
    <row r="874">
      <c r="I874" s="30"/>
    </row>
    <row r="875">
      <c r="I875" s="30"/>
    </row>
    <row r="876">
      <c r="I876" s="30"/>
    </row>
    <row r="877">
      <c r="I877" s="30"/>
    </row>
    <row r="878">
      <c r="I878" s="30"/>
    </row>
    <row r="879">
      <c r="I879" s="30"/>
    </row>
    <row r="880">
      <c r="I880" s="30"/>
    </row>
    <row r="881">
      <c r="I881" s="30"/>
    </row>
    <row r="882">
      <c r="I882" s="30"/>
    </row>
    <row r="883">
      <c r="I883" s="30"/>
    </row>
    <row r="884">
      <c r="I884" s="30"/>
    </row>
    <row r="885">
      <c r="I885" s="30"/>
    </row>
    <row r="886">
      <c r="I886" s="30"/>
    </row>
    <row r="887">
      <c r="I887" s="30"/>
    </row>
    <row r="888">
      <c r="I888" s="30"/>
    </row>
    <row r="889">
      <c r="I889" s="30"/>
    </row>
    <row r="890">
      <c r="I890" s="30"/>
    </row>
    <row r="891">
      <c r="I891" s="30"/>
    </row>
    <row r="892">
      <c r="I892" s="30"/>
    </row>
    <row r="893">
      <c r="I893" s="30"/>
    </row>
    <row r="894">
      <c r="I894" s="30"/>
    </row>
    <row r="895">
      <c r="I895" s="30"/>
    </row>
    <row r="896">
      <c r="I896" s="30"/>
    </row>
    <row r="897">
      <c r="I897" s="30"/>
    </row>
    <row r="898">
      <c r="I898" s="30"/>
    </row>
    <row r="899">
      <c r="I899" s="30"/>
    </row>
    <row r="900">
      <c r="I900" s="30"/>
    </row>
    <row r="901">
      <c r="I901" s="30"/>
    </row>
    <row r="902">
      <c r="I902" s="30"/>
    </row>
    <row r="903">
      <c r="I903" s="30"/>
    </row>
    <row r="904">
      <c r="I904" s="30"/>
    </row>
    <row r="905">
      <c r="I905" s="30"/>
    </row>
    <row r="906">
      <c r="I906" s="30"/>
    </row>
    <row r="907">
      <c r="I907" s="30"/>
    </row>
    <row r="908">
      <c r="I908" s="30"/>
    </row>
    <row r="909">
      <c r="I909" s="30"/>
    </row>
    <row r="910">
      <c r="I910" s="30"/>
    </row>
    <row r="911">
      <c r="I911" s="30"/>
    </row>
    <row r="912">
      <c r="I912" s="30"/>
    </row>
    <row r="913">
      <c r="I913" s="30"/>
    </row>
    <row r="914">
      <c r="I914" s="30"/>
    </row>
    <row r="915">
      <c r="I915" s="30"/>
    </row>
    <row r="916">
      <c r="I916" s="30"/>
    </row>
    <row r="917">
      <c r="I917" s="30"/>
    </row>
    <row r="918">
      <c r="I918" s="30"/>
    </row>
    <row r="919">
      <c r="I919" s="30"/>
    </row>
    <row r="920">
      <c r="I920" s="30"/>
    </row>
    <row r="921">
      <c r="I921" s="30"/>
    </row>
    <row r="922">
      <c r="I922" s="30"/>
    </row>
    <row r="923">
      <c r="I923" s="30"/>
    </row>
    <row r="924">
      <c r="I924" s="30"/>
    </row>
    <row r="925">
      <c r="I925" s="30"/>
    </row>
    <row r="926">
      <c r="I926" s="30"/>
    </row>
    <row r="927">
      <c r="I927" s="30"/>
    </row>
    <row r="928">
      <c r="I928" s="30"/>
    </row>
    <row r="929">
      <c r="I929" s="30"/>
    </row>
    <row r="930">
      <c r="I930" s="30"/>
    </row>
    <row r="931">
      <c r="I931" s="30"/>
    </row>
    <row r="932">
      <c r="I932" s="30"/>
    </row>
    <row r="933">
      <c r="I933" s="30"/>
    </row>
    <row r="934">
      <c r="I934" s="30"/>
    </row>
    <row r="935">
      <c r="I935" s="30"/>
    </row>
    <row r="936">
      <c r="I936" s="30"/>
    </row>
    <row r="937">
      <c r="I937" s="30"/>
    </row>
    <row r="938">
      <c r="I938" s="30"/>
    </row>
    <row r="939">
      <c r="I939" s="30"/>
    </row>
    <row r="940">
      <c r="I940" s="30"/>
    </row>
    <row r="941">
      <c r="I941" s="30"/>
    </row>
    <row r="942">
      <c r="I942" s="30"/>
    </row>
    <row r="943">
      <c r="I943" s="30"/>
    </row>
    <row r="944">
      <c r="I944" s="30"/>
    </row>
    <row r="945">
      <c r="I945" s="30"/>
    </row>
    <row r="946">
      <c r="I946" s="30"/>
    </row>
    <row r="947">
      <c r="I947" s="30"/>
    </row>
    <row r="948">
      <c r="I948" s="30"/>
    </row>
    <row r="949">
      <c r="I949" s="30"/>
    </row>
    <row r="950">
      <c r="I950" s="30"/>
    </row>
    <row r="951">
      <c r="I951" s="30"/>
    </row>
    <row r="952">
      <c r="I952" s="30"/>
    </row>
    <row r="953">
      <c r="I953" s="30"/>
    </row>
    <row r="954">
      <c r="I954" s="30"/>
    </row>
    <row r="955">
      <c r="I955" s="30"/>
    </row>
    <row r="956">
      <c r="I956" s="30"/>
    </row>
    <row r="957">
      <c r="I957" s="30"/>
    </row>
    <row r="958">
      <c r="I958" s="30"/>
    </row>
    <row r="959">
      <c r="I959" s="30"/>
    </row>
    <row r="960">
      <c r="I960" s="30"/>
    </row>
    <row r="961">
      <c r="I961" s="30"/>
    </row>
    <row r="962">
      <c r="I962" s="30"/>
    </row>
    <row r="963">
      <c r="I963" s="30"/>
    </row>
    <row r="964">
      <c r="I964" s="30"/>
    </row>
    <row r="965">
      <c r="I965" s="30"/>
    </row>
    <row r="966">
      <c r="I966" s="30"/>
    </row>
    <row r="967">
      <c r="I967" s="30"/>
    </row>
    <row r="968">
      <c r="I968" s="30"/>
    </row>
    <row r="969">
      <c r="I969" s="30"/>
    </row>
    <row r="970">
      <c r="I970" s="30"/>
    </row>
    <row r="971">
      <c r="I971" s="30"/>
    </row>
    <row r="972">
      <c r="I972" s="30"/>
    </row>
    <row r="973">
      <c r="I973" s="30"/>
    </row>
    <row r="974">
      <c r="I974" s="30"/>
    </row>
    <row r="975">
      <c r="I975" s="30"/>
    </row>
    <row r="976">
      <c r="I976" s="30"/>
    </row>
    <row r="977">
      <c r="I977" s="30"/>
    </row>
    <row r="978">
      <c r="I978" s="30"/>
    </row>
    <row r="979">
      <c r="I979" s="30"/>
    </row>
    <row r="980">
      <c r="I980" s="30"/>
    </row>
    <row r="981">
      <c r="I981" s="30"/>
    </row>
    <row r="982">
      <c r="I982" s="30"/>
    </row>
    <row r="983">
      <c r="I983" s="30"/>
    </row>
    <row r="984">
      <c r="I984" s="30"/>
    </row>
    <row r="985">
      <c r="I985" s="30"/>
    </row>
    <row r="986">
      <c r="I986" s="30"/>
    </row>
    <row r="987">
      <c r="I987" s="30"/>
    </row>
    <row r="988">
      <c r="I988" s="30"/>
    </row>
    <row r="989">
      <c r="I989" s="30"/>
    </row>
    <row r="990">
      <c r="I990" s="30"/>
    </row>
    <row r="991">
      <c r="I991" s="30"/>
    </row>
    <row r="992">
      <c r="I992" s="30"/>
    </row>
    <row r="993">
      <c r="I993" s="30"/>
    </row>
    <row r="994">
      <c r="I994" s="30"/>
    </row>
    <row r="995">
      <c r="I995" s="30"/>
    </row>
    <row r="996">
      <c r="I996" s="30"/>
    </row>
    <row r="997">
      <c r="I997" s="30"/>
    </row>
    <row r="998">
      <c r="I998" s="30"/>
    </row>
    <row r="999">
      <c r="I999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8.86"/>
  </cols>
  <sheetData>
    <row r="1">
      <c r="A1" s="8" t="s">
        <v>184</v>
      </c>
      <c r="B1" s="1" t="s">
        <v>621</v>
      </c>
      <c r="C1" s="1" t="s">
        <v>622</v>
      </c>
      <c r="D1" s="1" t="s">
        <v>623</v>
      </c>
      <c r="E1" s="1" t="s">
        <v>624</v>
      </c>
      <c r="F1" s="1" t="s">
        <v>625</v>
      </c>
      <c r="G1" s="1" t="s">
        <v>626</v>
      </c>
      <c r="H1" s="1" t="s">
        <v>610</v>
      </c>
      <c r="I1" s="1" t="s">
        <v>627</v>
      </c>
      <c r="J1" s="34"/>
      <c r="K1" s="34"/>
      <c r="L1" s="34"/>
      <c r="M1" s="34"/>
      <c r="N1" s="34"/>
      <c r="O1" s="34"/>
      <c r="P1" s="34"/>
      <c r="Q1" s="34"/>
      <c r="R1" s="34"/>
    </row>
    <row r="2">
      <c r="A2" s="1" t="s">
        <v>195</v>
      </c>
      <c r="B2" s="12" t="s">
        <v>142</v>
      </c>
      <c r="E2" s="10"/>
      <c r="G2" s="10" t="s">
        <v>198</v>
      </c>
      <c r="H2" s="13"/>
      <c r="I2" s="14" t="s">
        <v>200</v>
      </c>
      <c r="J2" s="34"/>
      <c r="K2" s="34"/>
      <c r="L2" s="35"/>
      <c r="M2" s="35"/>
      <c r="N2" s="35"/>
      <c r="O2" s="35"/>
      <c r="P2" s="35"/>
      <c r="Q2" s="35"/>
      <c r="R2" s="34"/>
    </row>
    <row r="3">
      <c r="A3" s="1" t="s">
        <v>203</v>
      </c>
      <c r="B3" s="12" t="s">
        <v>204</v>
      </c>
      <c r="E3" s="10"/>
      <c r="G3" s="10" t="s">
        <v>205</v>
      </c>
      <c r="H3" s="15"/>
      <c r="I3" s="14" t="s">
        <v>200</v>
      </c>
      <c r="J3" s="34"/>
      <c r="K3" s="34"/>
      <c r="L3" s="35"/>
      <c r="M3" s="35"/>
      <c r="N3" s="35"/>
      <c r="O3" s="35"/>
      <c r="P3" s="35"/>
      <c r="Q3" s="35"/>
      <c r="R3" s="34"/>
    </row>
    <row r="4">
      <c r="A4" s="1" t="s">
        <v>209</v>
      </c>
      <c r="B4" s="12" t="s">
        <v>210</v>
      </c>
      <c r="E4" s="10"/>
      <c r="G4" s="10" t="s">
        <v>211</v>
      </c>
      <c r="H4" s="15"/>
      <c r="I4" s="14" t="s">
        <v>200</v>
      </c>
      <c r="J4" s="34"/>
      <c r="K4" s="34"/>
      <c r="L4" s="35"/>
      <c r="M4" s="35"/>
      <c r="N4" s="35"/>
      <c r="O4" s="35"/>
      <c r="P4" s="35"/>
      <c r="Q4" s="35"/>
      <c r="R4" s="34"/>
    </row>
    <row r="5">
      <c r="A5" s="1" t="s">
        <v>212</v>
      </c>
      <c r="B5" s="12" t="s">
        <v>213</v>
      </c>
      <c r="E5" s="10"/>
      <c r="G5" s="10" t="s">
        <v>214</v>
      </c>
      <c r="H5" s="15"/>
      <c r="I5" s="14" t="s">
        <v>215</v>
      </c>
      <c r="J5" s="34"/>
      <c r="K5" s="34"/>
      <c r="L5" s="35"/>
      <c r="M5" s="35"/>
      <c r="N5" s="35"/>
      <c r="O5" s="35"/>
      <c r="P5" s="35"/>
      <c r="Q5" s="35"/>
      <c r="R5" s="34"/>
    </row>
    <row r="6">
      <c r="A6" s="1" t="s">
        <v>216</v>
      </c>
      <c r="B6" s="12" t="s">
        <v>217</v>
      </c>
      <c r="E6" s="10"/>
      <c r="G6" s="10" t="s">
        <v>218</v>
      </c>
      <c r="H6" s="15"/>
      <c r="I6" s="14" t="s">
        <v>200</v>
      </c>
      <c r="J6" s="34"/>
      <c r="K6" s="34"/>
      <c r="L6" s="35"/>
      <c r="M6" s="35"/>
      <c r="N6" s="35"/>
      <c r="O6" s="35"/>
      <c r="P6" s="35"/>
      <c r="Q6" s="35"/>
      <c r="R6" s="34"/>
    </row>
    <row r="7">
      <c r="A7" s="1" t="s">
        <v>219</v>
      </c>
      <c r="B7" s="12" t="s">
        <v>220</v>
      </c>
      <c r="E7" s="10"/>
      <c r="G7" s="10"/>
      <c r="H7" s="15"/>
      <c r="I7" s="14" t="s">
        <v>221</v>
      </c>
      <c r="J7" s="34"/>
      <c r="K7" s="34"/>
      <c r="L7" s="35"/>
      <c r="M7" s="35"/>
      <c r="N7" s="35"/>
      <c r="O7" s="35"/>
      <c r="P7" s="35"/>
      <c r="Q7" s="35"/>
      <c r="R7" s="34"/>
    </row>
    <row r="8">
      <c r="A8" s="1" t="s">
        <v>223</v>
      </c>
      <c r="B8" s="12" t="s">
        <v>224</v>
      </c>
      <c r="E8" s="10"/>
      <c r="G8" s="10" t="s">
        <v>225</v>
      </c>
      <c r="H8" s="13"/>
      <c r="I8" s="14" t="s">
        <v>221</v>
      </c>
      <c r="J8" s="34"/>
      <c r="K8" s="34"/>
      <c r="L8" s="35"/>
      <c r="M8" s="35"/>
      <c r="N8" s="35"/>
      <c r="O8" s="35"/>
      <c r="P8" s="35"/>
      <c r="Q8" s="35"/>
      <c r="R8" s="34"/>
    </row>
    <row r="9">
      <c r="A9" s="1" t="s">
        <v>226</v>
      </c>
      <c r="B9" s="12" t="s">
        <v>227</v>
      </c>
      <c r="E9" s="10"/>
      <c r="G9" s="10"/>
      <c r="H9" s="13"/>
      <c r="I9" s="14" t="s">
        <v>221</v>
      </c>
      <c r="J9" s="34"/>
      <c r="K9" s="34"/>
      <c r="L9" s="35"/>
      <c r="M9" s="35"/>
      <c r="N9" s="35"/>
      <c r="O9" s="35"/>
      <c r="P9" s="35"/>
      <c r="Q9" s="35"/>
      <c r="R9" s="34"/>
    </row>
    <row r="10">
      <c r="A10" s="1" t="s">
        <v>228</v>
      </c>
      <c r="B10" s="12" t="s">
        <v>229</v>
      </c>
      <c r="E10" s="10"/>
      <c r="G10" s="10" t="s">
        <v>230</v>
      </c>
      <c r="H10" s="13"/>
      <c r="I10" s="14" t="s">
        <v>221</v>
      </c>
      <c r="J10" s="34"/>
      <c r="K10" s="34"/>
      <c r="L10" s="35"/>
      <c r="M10" s="35"/>
      <c r="N10" s="35"/>
      <c r="O10" s="35"/>
      <c r="P10" s="35"/>
      <c r="Q10" s="35"/>
      <c r="R10" s="34"/>
    </row>
    <row r="11">
      <c r="A11" s="1" t="s">
        <v>233</v>
      </c>
      <c r="B11" s="12" t="s">
        <v>234</v>
      </c>
      <c r="E11" s="10"/>
      <c r="G11" s="10" t="s">
        <v>235</v>
      </c>
      <c r="H11" s="13"/>
      <c r="I11" s="14" t="s">
        <v>221</v>
      </c>
      <c r="J11" s="34"/>
      <c r="K11" s="34"/>
      <c r="L11" s="35"/>
      <c r="M11" s="35"/>
      <c r="N11" s="35"/>
      <c r="O11" s="35"/>
      <c r="P11" s="35"/>
      <c r="Q11" s="35"/>
      <c r="R11" s="34"/>
    </row>
    <row r="12">
      <c r="A12" s="1" t="s">
        <v>236</v>
      </c>
      <c r="B12" s="12" t="s">
        <v>237</v>
      </c>
      <c r="E12" s="10"/>
      <c r="G12" s="10"/>
      <c r="H12" s="13"/>
      <c r="I12" s="14" t="s">
        <v>221</v>
      </c>
      <c r="J12" s="34"/>
      <c r="K12" s="34"/>
      <c r="L12" s="35"/>
      <c r="M12" s="35"/>
      <c r="N12" s="35"/>
      <c r="O12" s="35"/>
      <c r="P12" s="35"/>
      <c r="Q12" s="35"/>
      <c r="R12" s="34"/>
    </row>
    <row r="13">
      <c r="A13" s="1" t="s">
        <v>238</v>
      </c>
      <c r="B13" s="12" t="s">
        <v>239</v>
      </c>
      <c r="E13" s="10"/>
      <c r="G13" s="10"/>
      <c r="H13" s="13"/>
      <c r="I13" s="14" t="s">
        <v>221</v>
      </c>
      <c r="J13" s="34"/>
      <c r="K13" s="34"/>
      <c r="L13" s="35"/>
      <c r="M13" s="35"/>
      <c r="N13" s="35"/>
      <c r="O13" s="35"/>
      <c r="P13" s="35"/>
      <c r="Q13" s="35"/>
      <c r="R13" s="34"/>
    </row>
    <row r="14">
      <c r="A14" s="1" t="s">
        <v>240</v>
      </c>
      <c r="B14" s="12" t="s">
        <v>241</v>
      </c>
      <c r="E14" s="10"/>
      <c r="G14" s="10"/>
      <c r="H14" s="13"/>
      <c r="I14" s="14" t="s">
        <v>221</v>
      </c>
      <c r="J14" s="34"/>
      <c r="K14" s="34"/>
      <c r="L14" s="35"/>
      <c r="M14" s="35"/>
      <c r="N14" s="35"/>
      <c r="O14" s="35"/>
      <c r="P14" s="35"/>
      <c r="Q14" s="35"/>
      <c r="R14" s="34"/>
    </row>
    <row r="15">
      <c r="A15" s="1" t="s">
        <v>242</v>
      </c>
      <c r="B15" s="12" t="s">
        <v>243</v>
      </c>
      <c r="E15" s="10"/>
      <c r="G15" s="10" t="s">
        <v>244</v>
      </c>
      <c r="H15" s="13"/>
      <c r="I15" s="14" t="s">
        <v>221</v>
      </c>
      <c r="J15" s="34"/>
      <c r="K15" s="34"/>
      <c r="L15" s="35"/>
      <c r="M15" s="35"/>
      <c r="N15" s="35"/>
      <c r="O15" s="35"/>
      <c r="P15" s="35"/>
      <c r="Q15" s="35"/>
      <c r="R15" s="34"/>
    </row>
    <row r="16">
      <c r="A16" s="1" t="s">
        <v>245</v>
      </c>
      <c r="B16" s="12" t="s">
        <v>246</v>
      </c>
      <c r="E16" s="10"/>
      <c r="G16" s="10" t="s">
        <v>247</v>
      </c>
      <c r="H16" s="13"/>
      <c r="I16" s="14" t="s">
        <v>200</v>
      </c>
      <c r="J16" s="34"/>
      <c r="K16" s="34"/>
      <c r="L16" s="35"/>
      <c r="M16" s="35"/>
      <c r="N16" s="35"/>
      <c r="O16" s="35"/>
      <c r="P16" s="35"/>
      <c r="Q16" s="35"/>
      <c r="R16" s="34"/>
    </row>
    <row r="17">
      <c r="A17" s="1" t="s">
        <v>248</v>
      </c>
      <c r="B17" s="12" t="s">
        <v>249</v>
      </c>
      <c r="E17" s="10"/>
      <c r="G17" s="10" t="s">
        <v>250</v>
      </c>
      <c r="H17" s="13"/>
      <c r="I17" s="14" t="s">
        <v>200</v>
      </c>
      <c r="J17" s="34"/>
      <c r="K17" s="34"/>
      <c r="L17" s="35"/>
      <c r="M17" s="35"/>
      <c r="N17" s="35"/>
      <c r="O17" s="35"/>
      <c r="P17" s="35"/>
      <c r="Q17" s="35"/>
      <c r="R17" s="34"/>
    </row>
    <row r="18">
      <c r="A18" s="1" t="s">
        <v>252</v>
      </c>
      <c r="B18" s="12" t="s">
        <v>253</v>
      </c>
      <c r="E18" s="10"/>
      <c r="G18" s="10" t="s">
        <v>254</v>
      </c>
      <c r="H18" s="13"/>
      <c r="I18" s="14" t="s">
        <v>200</v>
      </c>
      <c r="J18" s="34"/>
      <c r="K18" s="34"/>
      <c r="L18" s="35"/>
      <c r="M18" s="35"/>
      <c r="N18" s="35"/>
      <c r="O18" s="35"/>
      <c r="P18" s="35"/>
      <c r="Q18" s="35"/>
      <c r="R18" s="34"/>
    </row>
    <row r="19">
      <c r="A19" s="1" t="s">
        <v>255</v>
      </c>
      <c r="B19" s="12" t="s">
        <v>256</v>
      </c>
      <c r="E19" s="10"/>
      <c r="G19" s="10" t="s">
        <v>257</v>
      </c>
      <c r="H19" s="13"/>
      <c r="I19" s="14" t="s">
        <v>200</v>
      </c>
      <c r="J19" s="34"/>
      <c r="K19" s="34"/>
      <c r="L19" s="35"/>
      <c r="M19" s="35"/>
      <c r="N19" s="35"/>
      <c r="O19" s="35"/>
      <c r="P19" s="35"/>
      <c r="Q19" s="35"/>
      <c r="R19" s="34"/>
    </row>
    <row r="20">
      <c r="A20" s="1" t="s">
        <v>258</v>
      </c>
      <c r="B20" s="12" t="s">
        <v>259</v>
      </c>
      <c r="E20" s="10"/>
      <c r="G20" s="10" t="s">
        <v>260</v>
      </c>
      <c r="H20" s="13"/>
      <c r="I20" s="14" t="s">
        <v>200</v>
      </c>
      <c r="J20" s="34"/>
      <c r="K20" s="34"/>
      <c r="L20" s="35"/>
      <c r="M20" s="35"/>
      <c r="N20" s="35"/>
      <c r="O20" s="35"/>
      <c r="P20" s="35"/>
      <c r="Q20" s="35"/>
      <c r="R20" s="34"/>
    </row>
    <row r="21">
      <c r="A21" s="1" t="s">
        <v>261</v>
      </c>
      <c r="B21" s="12" t="s">
        <v>262</v>
      </c>
      <c r="E21" s="10"/>
      <c r="G21" s="10" t="s">
        <v>263</v>
      </c>
      <c r="H21" s="13"/>
      <c r="I21" s="14" t="s">
        <v>200</v>
      </c>
      <c r="J21" s="34"/>
      <c r="K21" s="34"/>
      <c r="L21" s="35"/>
      <c r="M21" s="35"/>
      <c r="N21" s="35"/>
      <c r="O21" s="35"/>
      <c r="P21" s="35"/>
      <c r="Q21" s="35"/>
      <c r="R21" s="34"/>
    </row>
    <row r="22">
      <c r="A22" s="1" t="s">
        <v>264</v>
      </c>
      <c r="B22" s="12" t="s">
        <v>265</v>
      </c>
      <c r="E22" s="10"/>
      <c r="G22" s="10" t="s">
        <v>266</v>
      </c>
      <c r="H22" s="13"/>
      <c r="I22" s="14" t="s">
        <v>200</v>
      </c>
      <c r="J22" s="34"/>
      <c r="K22" s="34"/>
      <c r="L22" s="35"/>
      <c r="M22" s="35"/>
      <c r="N22" s="35"/>
      <c r="O22" s="35"/>
      <c r="P22" s="35"/>
      <c r="Q22" s="35"/>
      <c r="R22" s="34"/>
    </row>
    <row r="23">
      <c r="A23" s="1" t="s">
        <v>267</v>
      </c>
      <c r="B23" s="12" t="s">
        <v>268</v>
      </c>
      <c r="E23" s="10"/>
      <c r="G23" s="10" t="s">
        <v>269</v>
      </c>
      <c r="H23" s="13"/>
      <c r="I23" s="14" t="s">
        <v>200</v>
      </c>
      <c r="J23" s="34"/>
      <c r="K23" s="34"/>
      <c r="L23" s="35"/>
      <c r="M23" s="35"/>
      <c r="N23" s="35"/>
      <c r="O23" s="35"/>
      <c r="P23" s="35"/>
      <c r="Q23" s="35"/>
      <c r="R23" s="34"/>
    </row>
    <row r="24">
      <c r="A24" s="1" t="s">
        <v>270</v>
      </c>
      <c r="B24" s="12" t="s">
        <v>271</v>
      </c>
      <c r="E24" s="10"/>
      <c r="G24" s="10" t="s">
        <v>272</v>
      </c>
      <c r="H24" s="13"/>
      <c r="I24" s="14" t="s">
        <v>200</v>
      </c>
      <c r="J24" s="34"/>
      <c r="K24" s="34"/>
      <c r="L24" s="35"/>
      <c r="M24" s="35"/>
      <c r="N24" s="35"/>
      <c r="O24" s="35"/>
      <c r="P24" s="35"/>
      <c r="Q24" s="35"/>
      <c r="R24" s="34"/>
    </row>
    <row r="25">
      <c r="A25" s="1" t="s">
        <v>273</v>
      </c>
      <c r="B25" s="12" t="s">
        <v>164</v>
      </c>
      <c r="E25" s="10"/>
      <c r="G25" s="10" t="s">
        <v>274</v>
      </c>
      <c r="H25" s="13"/>
      <c r="I25" s="14" t="s">
        <v>200</v>
      </c>
      <c r="J25" s="34"/>
      <c r="K25" s="34"/>
      <c r="L25" s="35"/>
      <c r="M25" s="35"/>
      <c r="N25" s="35"/>
      <c r="O25" s="35"/>
      <c r="P25" s="35"/>
      <c r="Q25" s="35"/>
      <c r="R25" s="34"/>
    </row>
    <row r="26">
      <c r="A26" s="1" t="s">
        <v>276</v>
      </c>
      <c r="B26" s="12" t="s">
        <v>277</v>
      </c>
      <c r="E26" s="10"/>
      <c r="G26" s="10" t="s">
        <v>278</v>
      </c>
      <c r="H26" s="13"/>
      <c r="I26" s="14" t="s">
        <v>200</v>
      </c>
      <c r="J26" s="34"/>
      <c r="K26" s="34"/>
      <c r="L26" s="35"/>
      <c r="M26" s="35"/>
      <c r="N26" s="35"/>
      <c r="O26" s="35"/>
      <c r="P26" s="35"/>
      <c r="Q26" s="35"/>
      <c r="R26" s="34"/>
    </row>
    <row r="27">
      <c r="A27" s="1" t="s">
        <v>279</v>
      </c>
      <c r="B27" s="12" t="s">
        <v>280</v>
      </c>
      <c r="E27" s="10"/>
      <c r="G27" s="10"/>
      <c r="H27" s="13"/>
      <c r="I27" s="14" t="s">
        <v>215</v>
      </c>
      <c r="J27" s="34"/>
      <c r="K27" s="34"/>
      <c r="L27" s="35"/>
      <c r="M27" s="35"/>
      <c r="N27" s="35"/>
      <c r="O27" s="35"/>
      <c r="P27" s="35"/>
      <c r="Q27" s="35"/>
      <c r="R27" s="34"/>
    </row>
    <row r="28">
      <c r="A28" s="1" t="s">
        <v>281</v>
      </c>
      <c r="B28" s="12" t="s">
        <v>150</v>
      </c>
      <c r="E28" s="10"/>
      <c r="G28" s="10"/>
      <c r="H28" s="13"/>
      <c r="I28" s="14" t="s">
        <v>215</v>
      </c>
      <c r="J28" s="34"/>
      <c r="K28" s="34"/>
      <c r="L28" s="35"/>
      <c r="M28" s="35"/>
      <c r="N28" s="35"/>
      <c r="O28" s="35"/>
      <c r="P28" s="35"/>
      <c r="Q28" s="35"/>
      <c r="R28" s="34"/>
    </row>
    <row r="29">
      <c r="A29" s="1" t="s">
        <v>282</v>
      </c>
      <c r="B29" s="12" t="s">
        <v>283</v>
      </c>
      <c r="E29" s="10"/>
      <c r="G29" s="10"/>
      <c r="H29" s="13"/>
      <c r="I29" s="14" t="s">
        <v>284</v>
      </c>
      <c r="J29" s="34"/>
      <c r="K29" s="34"/>
      <c r="L29" s="35"/>
      <c r="M29" s="35"/>
      <c r="N29" s="35"/>
      <c r="O29" s="35"/>
      <c r="P29" s="35"/>
      <c r="Q29" s="35"/>
      <c r="R29" s="34"/>
    </row>
    <row r="30">
      <c r="A30" s="1" t="s">
        <v>285</v>
      </c>
      <c r="B30" s="12" t="s">
        <v>160</v>
      </c>
      <c r="E30" s="10"/>
      <c r="G30" s="10"/>
      <c r="H30" s="13"/>
      <c r="I30" s="14" t="s">
        <v>286</v>
      </c>
      <c r="J30" s="34"/>
      <c r="K30" s="34"/>
      <c r="L30" s="35"/>
      <c r="M30" s="35"/>
      <c r="N30" s="35"/>
      <c r="O30" s="35"/>
      <c r="P30" s="35"/>
      <c r="Q30" s="35"/>
      <c r="R30" s="34"/>
    </row>
    <row r="31">
      <c r="A31" s="1" t="s">
        <v>288</v>
      </c>
      <c r="B31" s="12" t="s">
        <v>289</v>
      </c>
      <c r="E31" s="10"/>
      <c r="G31" s="10"/>
      <c r="H31" s="13"/>
      <c r="I31" s="14" t="s">
        <v>286</v>
      </c>
      <c r="J31" s="34"/>
      <c r="K31" s="34"/>
      <c r="L31" s="35"/>
      <c r="M31" s="35"/>
      <c r="N31" s="35"/>
      <c r="O31" s="35"/>
      <c r="P31" s="35"/>
      <c r="Q31" s="35"/>
      <c r="R31" s="34"/>
    </row>
    <row r="32">
      <c r="A32" s="1" t="s">
        <v>290</v>
      </c>
      <c r="B32" s="12" t="s">
        <v>291</v>
      </c>
      <c r="E32" s="10"/>
      <c r="G32" s="10" t="s">
        <v>292</v>
      </c>
      <c r="H32" s="13"/>
      <c r="I32" s="14" t="s">
        <v>221</v>
      </c>
      <c r="J32" s="34"/>
      <c r="K32" s="34"/>
      <c r="L32" s="35"/>
      <c r="M32" s="35"/>
      <c r="N32" s="35"/>
      <c r="O32" s="35"/>
      <c r="P32" s="35"/>
      <c r="Q32" s="35"/>
      <c r="R32" s="34"/>
    </row>
    <row r="33">
      <c r="A33" s="1" t="s">
        <v>294</v>
      </c>
      <c r="B33" s="12" t="s">
        <v>295</v>
      </c>
      <c r="E33" s="10"/>
      <c r="G33" s="10"/>
      <c r="H33" s="13"/>
      <c r="I33" s="14" t="s">
        <v>200</v>
      </c>
      <c r="J33" s="34"/>
      <c r="K33" s="34"/>
      <c r="L33" s="35"/>
      <c r="M33" s="35"/>
      <c r="N33" s="35"/>
      <c r="O33" s="35"/>
      <c r="P33" s="35"/>
      <c r="Q33" s="35"/>
      <c r="R33" s="34"/>
    </row>
    <row r="34">
      <c r="A34" s="1" t="s">
        <v>297</v>
      </c>
      <c r="B34" s="12" t="s">
        <v>298</v>
      </c>
      <c r="E34" s="10"/>
      <c r="G34" s="10" t="s">
        <v>299</v>
      </c>
      <c r="H34" s="13"/>
      <c r="I34" s="14" t="s">
        <v>200</v>
      </c>
      <c r="J34" s="34"/>
      <c r="K34" s="34"/>
      <c r="L34" s="35"/>
      <c r="M34" s="35"/>
      <c r="N34" s="35"/>
      <c r="O34" s="35"/>
      <c r="P34" s="35"/>
      <c r="Q34" s="35"/>
      <c r="R34" s="34"/>
    </row>
    <row r="35">
      <c r="A35" s="1" t="s">
        <v>300</v>
      </c>
      <c r="B35" s="12" t="s">
        <v>301</v>
      </c>
      <c r="E35" s="10"/>
      <c r="G35" s="10" t="s">
        <v>302</v>
      </c>
      <c r="H35" s="13"/>
      <c r="I35" s="14" t="s">
        <v>200</v>
      </c>
      <c r="J35" s="34"/>
      <c r="K35" s="34"/>
      <c r="L35" s="35"/>
      <c r="M35" s="35"/>
      <c r="N35" s="35"/>
      <c r="O35" s="35"/>
      <c r="P35" s="35"/>
      <c r="Q35" s="35"/>
      <c r="R35" s="34"/>
    </row>
    <row r="36">
      <c r="A36" s="1" t="s">
        <v>303</v>
      </c>
      <c r="B36" s="12" t="s">
        <v>304</v>
      </c>
      <c r="E36" s="10"/>
      <c r="G36" s="10" t="s">
        <v>305</v>
      </c>
      <c r="H36" s="13"/>
      <c r="I36" s="14" t="s">
        <v>200</v>
      </c>
      <c r="J36" s="34"/>
      <c r="K36" s="34"/>
      <c r="L36" s="35"/>
      <c r="M36" s="35"/>
      <c r="N36" s="35"/>
      <c r="O36" s="35"/>
      <c r="P36" s="35"/>
      <c r="Q36" s="35"/>
      <c r="R36" s="34"/>
    </row>
    <row r="37">
      <c r="A37" s="1" t="s">
        <v>306</v>
      </c>
      <c r="B37" s="12" t="s">
        <v>152</v>
      </c>
      <c r="E37" s="10"/>
      <c r="G37" s="10" t="s">
        <v>307</v>
      </c>
      <c r="H37" s="13"/>
      <c r="I37" s="14" t="s">
        <v>200</v>
      </c>
      <c r="J37" s="34"/>
      <c r="K37" s="34"/>
      <c r="L37" s="35"/>
      <c r="M37" s="35"/>
      <c r="N37" s="35"/>
      <c r="O37" s="35"/>
      <c r="P37" s="35"/>
      <c r="Q37" s="35"/>
      <c r="R37" s="34"/>
    </row>
    <row r="38">
      <c r="A38" s="1" t="s">
        <v>308</v>
      </c>
      <c r="B38" s="12" t="s">
        <v>309</v>
      </c>
      <c r="E38" s="10"/>
      <c r="G38" s="10" t="s">
        <v>310</v>
      </c>
      <c r="H38" s="13"/>
      <c r="I38" s="36" t="s">
        <v>359</v>
      </c>
      <c r="J38" s="34"/>
      <c r="K38" s="34"/>
      <c r="L38" s="35"/>
      <c r="M38" s="35"/>
      <c r="N38" s="35"/>
      <c r="O38" s="35"/>
      <c r="P38" s="35"/>
      <c r="Q38" s="35"/>
      <c r="R38" s="34"/>
    </row>
    <row r="39">
      <c r="A39" s="1" t="s">
        <v>312</v>
      </c>
      <c r="B39" s="12" t="s">
        <v>313</v>
      </c>
      <c r="E39" s="10"/>
      <c r="G39" s="10" t="s">
        <v>314</v>
      </c>
      <c r="H39" s="13"/>
      <c r="I39" s="14" t="s">
        <v>200</v>
      </c>
      <c r="J39" s="34"/>
      <c r="K39" s="34"/>
      <c r="L39" s="35"/>
      <c r="M39" s="35"/>
      <c r="N39" s="35"/>
      <c r="O39" s="35"/>
      <c r="P39" s="35"/>
      <c r="Q39" s="35"/>
      <c r="R39" s="34"/>
    </row>
    <row r="40">
      <c r="A40" s="1" t="s">
        <v>315</v>
      </c>
      <c r="B40" s="12" t="s">
        <v>316</v>
      </c>
      <c r="E40" s="10"/>
      <c r="G40" s="10" t="s">
        <v>235</v>
      </c>
      <c r="H40" s="13"/>
      <c r="I40" s="14" t="s">
        <v>200</v>
      </c>
      <c r="J40" s="34"/>
      <c r="K40" s="34"/>
      <c r="L40" s="35"/>
      <c r="M40" s="35"/>
      <c r="N40" s="35"/>
      <c r="O40" s="35"/>
      <c r="P40" s="35"/>
      <c r="Q40" s="35"/>
      <c r="R40" s="34"/>
    </row>
    <row r="41">
      <c r="A41" s="1" t="s">
        <v>317</v>
      </c>
      <c r="B41" s="12" t="s">
        <v>318</v>
      </c>
      <c r="E41" s="10"/>
      <c r="G41" s="10" t="s">
        <v>319</v>
      </c>
      <c r="H41" s="13"/>
      <c r="I41" s="14" t="s">
        <v>200</v>
      </c>
      <c r="J41" s="34"/>
      <c r="K41" s="34"/>
      <c r="L41" s="35"/>
      <c r="M41" s="35"/>
      <c r="N41" s="35"/>
      <c r="O41" s="35"/>
      <c r="P41" s="35"/>
      <c r="Q41" s="35"/>
      <c r="R41" s="34"/>
    </row>
    <row r="42">
      <c r="A42" s="1" t="s">
        <v>320</v>
      </c>
      <c r="B42" s="12" t="s">
        <v>321</v>
      </c>
      <c r="E42" s="10"/>
      <c r="G42" s="10" t="s">
        <v>322</v>
      </c>
      <c r="H42" s="13"/>
      <c r="I42" s="14" t="s">
        <v>200</v>
      </c>
      <c r="J42" s="34"/>
      <c r="K42" s="34"/>
      <c r="L42" s="35"/>
      <c r="M42" s="35"/>
      <c r="N42" s="35"/>
      <c r="O42" s="35"/>
      <c r="P42" s="35"/>
      <c r="Q42" s="35"/>
      <c r="R42" s="34"/>
    </row>
    <row r="43">
      <c r="A43" s="1" t="s">
        <v>323</v>
      </c>
      <c r="B43" s="12" t="s">
        <v>324</v>
      </c>
      <c r="E43" s="10"/>
      <c r="G43" s="10"/>
      <c r="H43" s="13"/>
      <c r="I43" s="14" t="s">
        <v>200</v>
      </c>
      <c r="J43" s="34"/>
      <c r="K43" s="34"/>
      <c r="L43" s="35"/>
      <c r="M43" s="35"/>
      <c r="N43" s="35"/>
      <c r="O43" s="35"/>
      <c r="P43" s="35"/>
      <c r="Q43" s="35"/>
      <c r="R43" s="34"/>
    </row>
    <row r="44">
      <c r="A44" s="1" t="s">
        <v>325</v>
      </c>
      <c r="B44" s="12" t="s">
        <v>326</v>
      </c>
      <c r="E44" s="10"/>
      <c r="G44" s="10"/>
      <c r="H44" s="13"/>
      <c r="I44" s="14" t="s">
        <v>200</v>
      </c>
      <c r="J44" s="34"/>
      <c r="K44" s="34"/>
      <c r="L44" s="35"/>
      <c r="M44" s="35"/>
      <c r="N44" s="35"/>
      <c r="O44" s="35"/>
      <c r="P44" s="35"/>
      <c r="Q44" s="35"/>
      <c r="R44" s="34"/>
    </row>
    <row r="45">
      <c r="A45" s="1" t="s">
        <v>327</v>
      </c>
      <c r="B45" s="12" t="s">
        <v>328</v>
      </c>
      <c r="E45" s="10"/>
      <c r="G45" s="10"/>
      <c r="H45" s="13"/>
      <c r="I45" s="14" t="s">
        <v>200</v>
      </c>
      <c r="J45" s="34"/>
      <c r="K45" s="34"/>
      <c r="L45" s="35"/>
      <c r="M45" s="35"/>
      <c r="N45" s="35"/>
      <c r="O45" s="35"/>
      <c r="P45" s="35"/>
      <c r="Q45" s="35"/>
      <c r="R45" s="34"/>
    </row>
    <row r="46">
      <c r="A46" s="1" t="s">
        <v>329</v>
      </c>
      <c r="B46" s="12" t="s">
        <v>330</v>
      </c>
      <c r="E46" s="10"/>
      <c r="G46" s="10"/>
      <c r="H46" s="13"/>
      <c r="I46" s="14" t="s">
        <v>200</v>
      </c>
      <c r="J46" s="34"/>
      <c r="K46" s="34"/>
      <c r="L46" s="35"/>
      <c r="M46" s="35"/>
      <c r="N46" s="35"/>
      <c r="O46" s="35"/>
      <c r="P46" s="35"/>
      <c r="Q46" s="35"/>
      <c r="R46" s="34"/>
    </row>
    <row r="47">
      <c r="A47" s="1" t="s">
        <v>331</v>
      </c>
      <c r="B47" s="12" t="s">
        <v>332</v>
      </c>
      <c r="E47" s="10"/>
      <c r="G47" s="10"/>
      <c r="H47" s="13"/>
      <c r="I47" s="14" t="s">
        <v>200</v>
      </c>
      <c r="J47" s="34"/>
      <c r="K47" s="34"/>
      <c r="L47" s="35"/>
      <c r="M47" s="35"/>
      <c r="N47" s="35"/>
      <c r="O47" s="35"/>
      <c r="P47" s="35"/>
      <c r="Q47" s="35"/>
      <c r="R47" s="34"/>
    </row>
    <row r="48">
      <c r="A48" s="1" t="s">
        <v>333</v>
      </c>
      <c r="B48" s="12" t="s">
        <v>334</v>
      </c>
      <c r="E48" s="10"/>
      <c r="G48" s="10" t="s">
        <v>335</v>
      </c>
      <c r="H48" s="13"/>
      <c r="I48" s="14" t="s">
        <v>200</v>
      </c>
      <c r="J48" s="34"/>
      <c r="K48" s="34"/>
      <c r="L48" s="35"/>
      <c r="M48" s="35"/>
      <c r="N48" s="35"/>
      <c r="O48" s="35"/>
      <c r="P48" s="35"/>
      <c r="Q48" s="35"/>
      <c r="R48" s="34"/>
    </row>
    <row r="49">
      <c r="A49" s="1" t="s">
        <v>336</v>
      </c>
      <c r="B49" s="12" t="s">
        <v>337</v>
      </c>
      <c r="E49" s="10"/>
      <c r="G49" s="10"/>
      <c r="H49" s="13"/>
      <c r="I49" s="14" t="s">
        <v>200</v>
      </c>
      <c r="J49" s="34"/>
      <c r="K49" s="34"/>
      <c r="L49" s="35"/>
      <c r="M49" s="35"/>
      <c r="N49" s="35"/>
      <c r="O49" s="35"/>
      <c r="P49" s="35"/>
      <c r="Q49" s="35"/>
      <c r="R49" s="34"/>
    </row>
    <row r="50">
      <c r="A50" s="1" t="s">
        <v>338</v>
      </c>
      <c r="B50" s="12" t="s">
        <v>162</v>
      </c>
      <c r="E50" s="10"/>
      <c r="G50" s="10" t="s">
        <v>339</v>
      </c>
      <c r="H50" s="13"/>
      <c r="I50" s="14" t="s">
        <v>200</v>
      </c>
      <c r="J50" s="34"/>
      <c r="K50" s="34"/>
      <c r="L50" s="35"/>
      <c r="M50" s="35"/>
      <c r="N50" s="35"/>
      <c r="O50" s="35"/>
      <c r="P50" s="35"/>
      <c r="Q50" s="35"/>
      <c r="R50" s="34"/>
    </row>
    <row r="51">
      <c r="A51" s="1" t="s">
        <v>340</v>
      </c>
      <c r="B51" s="12" t="s">
        <v>341</v>
      </c>
      <c r="E51" s="10"/>
      <c r="G51" s="10"/>
      <c r="H51" s="13"/>
      <c r="I51" s="14" t="s">
        <v>200</v>
      </c>
      <c r="J51" s="34"/>
      <c r="K51" s="34"/>
      <c r="L51" s="35"/>
      <c r="M51" s="35"/>
      <c r="N51" s="35"/>
      <c r="O51" s="35"/>
      <c r="P51" s="35"/>
      <c r="Q51" s="35"/>
      <c r="R51" s="34"/>
    </row>
    <row r="52">
      <c r="A52" s="1" t="s">
        <v>342</v>
      </c>
      <c r="B52" s="12" t="s">
        <v>343</v>
      </c>
      <c r="E52" s="21">
        <v>6.35139463E8</v>
      </c>
      <c r="G52" s="10" t="s">
        <v>344</v>
      </c>
      <c r="H52" s="13"/>
      <c r="I52" s="14" t="s">
        <v>345</v>
      </c>
      <c r="J52" s="34"/>
      <c r="K52" s="34"/>
      <c r="L52" s="35"/>
      <c r="M52" s="35"/>
      <c r="N52" s="35"/>
      <c r="O52" s="35"/>
      <c r="P52" s="35"/>
      <c r="Q52" s="35"/>
      <c r="R52" s="34"/>
    </row>
    <row r="53">
      <c r="A53" s="1" t="s">
        <v>346</v>
      </c>
      <c r="B53" s="12" t="s">
        <v>347</v>
      </c>
      <c r="E53" s="10"/>
      <c r="G53" s="10"/>
      <c r="H53" s="13"/>
      <c r="I53" s="14" t="s">
        <v>200</v>
      </c>
      <c r="J53" s="34"/>
      <c r="K53" s="34"/>
      <c r="L53" s="35"/>
      <c r="M53" s="35"/>
      <c r="N53" s="35"/>
      <c r="O53" s="35"/>
      <c r="P53" s="35"/>
      <c r="Q53" s="35"/>
      <c r="R53" s="34"/>
    </row>
    <row r="54">
      <c r="A54" s="1" t="s">
        <v>349</v>
      </c>
      <c r="B54" s="12" t="s">
        <v>350</v>
      </c>
      <c r="E54" s="10"/>
      <c r="G54" s="10"/>
      <c r="H54" s="13"/>
      <c r="I54" s="14" t="s">
        <v>311</v>
      </c>
      <c r="J54" s="34"/>
      <c r="K54" s="34"/>
      <c r="L54" s="35"/>
      <c r="M54" s="35"/>
      <c r="N54" s="35"/>
      <c r="O54" s="35"/>
      <c r="P54" s="35"/>
      <c r="Q54" s="35"/>
      <c r="R54" s="34"/>
    </row>
    <row r="55">
      <c r="A55" s="1" t="s">
        <v>351</v>
      </c>
      <c r="B55" s="12" t="s">
        <v>352</v>
      </c>
      <c r="E55" s="10"/>
      <c r="G55" s="10"/>
      <c r="H55" s="13"/>
      <c r="I55" s="14" t="s">
        <v>200</v>
      </c>
      <c r="J55" s="34"/>
      <c r="K55" s="34"/>
      <c r="L55" s="35"/>
      <c r="M55" s="35"/>
      <c r="N55" s="35"/>
      <c r="O55" s="35"/>
      <c r="P55" s="35"/>
      <c r="Q55" s="35"/>
      <c r="R55" s="34"/>
    </row>
    <row r="56">
      <c r="A56" s="1" t="s">
        <v>353</v>
      </c>
      <c r="B56" s="12" t="s">
        <v>354</v>
      </c>
      <c r="E56" s="10"/>
      <c r="G56" s="10"/>
      <c r="H56" s="13"/>
      <c r="I56" s="14" t="s">
        <v>200</v>
      </c>
      <c r="J56" s="34"/>
      <c r="K56" s="34"/>
      <c r="L56" s="35"/>
      <c r="M56" s="35"/>
      <c r="N56" s="35"/>
      <c r="O56" s="35"/>
      <c r="P56" s="35"/>
      <c r="Q56" s="35"/>
      <c r="R56" s="34"/>
    </row>
    <row r="57">
      <c r="A57" s="1" t="s">
        <v>355</v>
      </c>
      <c r="B57" s="12" t="s">
        <v>356</v>
      </c>
      <c r="E57" s="10"/>
      <c r="G57" s="10"/>
      <c r="H57" s="13"/>
      <c r="I57" s="14" t="s">
        <v>200</v>
      </c>
      <c r="J57" s="34"/>
      <c r="K57" s="34"/>
      <c r="L57" s="35"/>
      <c r="M57" s="35"/>
      <c r="N57" s="35"/>
      <c r="O57" s="35"/>
      <c r="P57" s="35"/>
      <c r="Q57" s="35"/>
      <c r="R57" s="34"/>
    </row>
    <row r="58">
      <c r="A58" s="1" t="s">
        <v>357</v>
      </c>
      <c r="B58" s="12" t="s">
        <v>158</v>
      </c>
      <c r="E58" s="10"/>
      <c r="G58" s="10" t="s">
        <v>358</v>
      </c>
      <c r="H58" s="13"/>
      <c r="I58" s="14" t="s">
        <v>359</v>
      </c>
      <c r="J58" s="34"/>
      <c r="K58" s="34"/>
      <c r="L58" s="35"/>
      <c r="M58" s="35"/>
      <c r="N58" s="35"/>
      <c r="O58" s="35"/>
      <c r="P58" s="35"/>
      <c r="Q58" s="35"/>
      <c r="R58" s="34"/>
    </row>
    <row r="59">
      <c r="A59" s="1" t="s">
        <v>360</v>
      </c>
      <c r="B59" s="12" t="s">
        <v>361</v>
      </c>
      <c r="E59" s="10"/>
      <c r="G59" s="10"/>
      <c r="H59" s="13"/>
      <c r="I59" s="14" t="s">
        <v>200</v>
      </c>
      <c r="J59" s="34"/>
      <c r="K59" s="34"/>
      <c r="L59" s="35"/>
      <c r="M59" s="35"/>
      <c r="N59" s="35"/>
      <c r="O59" s="35"/>
      <c r="P59" s="35"/>
      <c r="Q59" s="35"/>
      <c r="R59" s="34"/>
    </row>
    <row r="60">
      <c r="A60" s="1" t="s">
        <v>362</v>
      </c>
      <c r="B60" s="12" t="s">
        <v>363</v>
      </c>
      <c r="E60" s="10"/>
      <c r="G60" s="10"/>
      <c r="H60" s="13"/>
      <c r="I60" s="14" t="s">
        <v>200</v>
      </c>
      <c r="J60" s="34"/>
      <c r="K60" s="34"/>
      <c r="L60" s="35"/>
      <c r="M60" s="35"/>
      <c r="N60" s="35"/>
      <c r="O60" s="35"/>
      <c r="P60" s="35"/>
      <c r="Q60" s="35"/>
      <c r="R60" s="34"/>
    </row>
    <row r="61">
      <c r="A61" s="1" t="s">
        <v>364</v>
      </c>
      <c r="B61" s="12" t="s">
        <v>365</v>
      </c>
      <c r="E61" s="21">
        <v>6.87004187E8</v>
      </c>
      <c r="G61" s="10" t="s">
        <v>366</v>
      </c>
      <c r="H61" s="13"/>
      <c r="I61" s="14" t="s">
        <v>345</v>
      </c>
      <c r="J61" s="34"/>
      <c r="K61" s="34"/>
      <c r="L61" s="35"/>
      <c r="M61" s="35"/>
      <c r="N61" s="35"/>
      <c r="O61" s="35"/>
      <c r="P61" s="35"/>
      <c r="Q61" s="35"/>
      <c r="R61" s="34"/>
    </row>
    <row r="62">
      <c r="A62" s="1" t="s">
        <v>367</v>
      </c>
      <c r="B62" s="12" t="s">
        <v>368</v>
      </c>
      <c r="E62" s="21">
        <v>6.79856568E8</v>
      </c>
      <c r="G62" s="10" t="s">
        <v>369</v>
      </c>
      <c r="H62" s="13"/>
      <c r="I62" s="14" t="s">
        <v>370</v>
      </c>
      <c r="J62" s="34"/>
      <c r="K62" s="34"/>
      <c r="L62" s="35"/>
      <c r="M62" s="35"/>
      <c r="N62" s="35"/>
      <c r="O62" s="35"/>
      <c r="P62" s="35"/>
      <c r="Q62" s="35"/>
      <c r="R62" s="34"/>
    </row>
    <row r="63">
      <c r="A63" s="1" t="s">
        <v>371</v>
      </c>
      <c r="B63" s="12" t="s">
        <v>372</v>
      </c>
      <c r="E63" s="21">
        <v>6.58400758E8</v>
      </c>
      <c r="G63" s="10" t="s">
        <v>373</v>
      </c>
      <c r="H63" s="13"/>
      <c r="I63" s="14" t="s">
        <v>345</v>
      </c>
      <c r="J63" s="34"/>
      <c r="K63" s="34"/>
      <c r="L63" s="35"/>
      <c r="M63" s="35"/>
      <c r="N63" s="35"/>
      <c r="O63" s="35"/>
      <c r="P63" s="35"/>
      <c r="Q63" s="35"/>
      <c r="R63" s="34"/>
    </row>
    <row r="64">
      <c r="A64" s="1" t="s">
        <v>374</v>
      </c>
      <c r="B64" s="12" t="s">
        <v>375</v>
      </c>
      <c r="E64" s="21">
        <v>6.33336625E8</v>
      </c>
      <c r="G64" s="10" t="s">
        <v>376</v>
      </c>
      <c r="H64" s="13"/>
      <c r="I64" s="14" t="s">
        <v>200</v>
      </c>
      <c r="J64" s="34"/>
      <c r="K64" s="34"/>
      <c r="L64" s="35"/>
      <c r="M64" s="35"/>
      <c r="N64" s="35"/>
      <c r="O64" s="35"/>
      <c r="P64" s="35"/>
      <c r="Q64" s="35"/>
      <c r="R64" s="34"/>
    </row>
    <row r="65">
      <c r="A65" s="1" t="s">
        <v>377</v>
      </c>
      <c r="B65" s="12" t="s">
        <v>378</v>
      </c>
      <c r="E65" s="10"/>
      <c r="G65" s="10"/>
      <c r="H65" s="13"/>
      <c r="I65" s="14" t="s">
        <v>200</v>
      </c>
      <c r="J65" s="34"/>
      <c r="K65" s="34"/>
      <c r="L65" s="35"/>
      <c r="M65" s="35"/>
      <c r="N65" s="35"/>
      <c r="O65" s="35"/>
      <c r="P65" s="35"/>
      <c r="Q65" s="35"/>
      <c r="R65" s="34"/>
    </row>
    <row r="66">
      <c r="A66" s="1" t="s">
        <v>379</v>
      </c>
      <c r="B66" s="12" t="s">
        <v>380</v>
      </c>
      <c r="E66" s="10"/>
      <c r="G66" s="10"/>
      <c r="H66" s="13"/>
      <c r="I66" s="14" t="s">
        <v>200</v>
      </c>
      <c r="J66" s="34"/>
      <c r="K66" s="34"/>
      <c r="L66" s="35"/>
      <c r="M66" s="35"/>
      <c r="N66" s="35"/>
      <c r="O66" s="35"/>
      <c r="P66" s="35"/>
      <c r="Q66" s="35"/>
      <c r="R66" s="34"/>
    </row>
    <row r="67">
      <c r="A67" s="1" t="s">
        <v>381</v>
      </c>
      <c r="B67" s="12" t="s">
        <v>382</v>
      </c>
      <c r="E67" s="10"/>
      <c r="G67" s="10"/>
      <c r="H67" s="13"/>
      <c r="I67" s="14" t="s">
        <v>200</v>
      </c>
      <c r="J67" s="34"/>
      <c r="K67" s="34"/>
      <c r="L67" s="35"/>
      <c r="M67" s="35"/>
      <c r="N67" s="35"/>
      <c r="O67" s="35"/>
      <c r="P67" s="35"/>
      <c r="Q67" s="35"/>
      <c r="R67" s="34"/>
    </row>
    <row r="68">
      <c r="A68" s="1" t="s">
        <v>383</v>
      </c>
      <c r="B68" s="12" t="s">
        <v>384</v>
      </c>
      <c r="E68" s="10"/>
      <c r="G68" s="10"/>
      <c r="H68" s="13"/>
      <c r="I68" s="14" t="s">
        <v>200</v>
      </c>
      <c r="J68" s="34"/>
      <c r="K68" s="34"/>
      <c r="L68" s="35"/>
      <c r="M68" s="35"/>
      <c r="N68" s="35"/>
      <c r="O68" s="35"/>
      <c r="P68" s="35"/>
      <c r="Q68" s="35"/>
      <c r="R68" s="34"/>
    </row>
    <row r="69">
      <c r="A69" s="1" t="s">
        <v>385</v>
      </c>
      <c r="B69" s="12" t="s">
        <v>386</v>
      </c>
      <c r="E69" s="10"/>
      <c r="G69" s="10"/>
      <c r="H69" s="13"/>
      <c r="I69" s="10"/>
      <c r="J69" s="34"/>
      <c r="K69" s="34"/>
      <c r="L69" s="35"/>
      <c r="M69" s="35"/>
      <c r="N69" s="35"/>
      <c r="O69" s="35"/>
      <c r="P69" s="35"/>
      <c r="Q69" s="35"/>
      <c r="R69" s="34"/>
    </row>
    <row r="70">
      <c r="A70" s="1" t="s">
        <v>387</v>
      </c>
      <c r="B70" s="12" t="s">
        <v>388</v>
      </c>
      <c r="E70" s="10"/>
      <c r="G70" s="10"/>
      <c r="H70" s="13"/>
      <c r="I70" s="10"/>
      <c r="J70" s="34"/>
      <c r="K70" s="34"/>
      <c r="L70" s="35"/>
      <c r="M70" s="35"/>
      <c r="N70" s="35"/>
      <c r="O70" s="35"/>
      <c r="P70" s="35"/>
      <c r="Q70" s="35"/>
      <c r="R70" s="34"/>
    </row>
    <row r="71">
      <c r="A71" s="1" t="s">
        <v>389</v>
      </c>
      <c r="B71" s="12" t="s">
        <v>390</v>
      </c>
      <c r="E71" s="10"/>
      <c r="G71" s="10"/>
      <c r="H71" s="13"/>
      <c r="I71" s="14" t="s">
        <v>200</v>
      </c>
      <c r="J71" s="34"/>
      <c r="K71" s="34"/>
      <c r="L71" s="35"/>
      <c r="M71" s="35"/>
      <c r="N71" s="35"/>
      <c r="O71" s="35"/>
      <c r="P71" s="35"/>
      <c r="Q71" s="35"/>
      <c r="R71" s="34"/>
    </row>
    <row r="72">
      <c r="A72" s="1" t="s">
        <v>391</v>
      </c>
      <c r="B72" s="12" t="s">
        <v>392</v>
      </c>
      <c r="E72" s="10"/>
      <c r="G72" s="10"/>
      <c r="H72" s="13"/>
      <c r="I72" s="14" t="s">
        <v>200</v>
      </c>
      <c r="J72" s="34"/>
      <c r="K72" s="34"/>
      <c r="L72" s="35"/>
      <c r="M72" s="35"/>
      <c r="N72" s="35"/>
      <c r="O72" s="35"/>
      <c r="P72" s="35"/>
      <c r="Q72" s="35"/>
      <c r="R72" s="34"/>
    </row>
    <row r="73">
      <c r="A73" s="1" t="s">
        <v>393</v>
      </c>
      <c r="B73" s="12" t="s">
        <v>394</v>
      </c>
      <c r="E73" s="10"/>
      <c r="G73" s="10"/>
      <c r="H73" s="13"/>
      <c r="I73" s="14" t="s">
        <v>200</v>
      </c>
      <c r="J73" s="34"/>
      <c r="K73" s="34"/>
      <c r="L73" s="35"/>
      <c r="M73" s="35"/>
      <c r="N73" s="35"/>
      <c r="O73" s="35"/>
      <c r="P73" s="35"/>
      <c r="Q73" s="35"/>
      <c r="R73" s="34"/>
    </row>
    <row r="74">
      <c r="A74" s="1" t="s">
        <v>395</v>
      </c>
      <c r="B74" s="12" t="s">
        <v>396</v>
      </c>
      <c r="E74" s="10"/>
      <c r="G74" s="10"/>
      <c r="H74" s="13"/>
      <c r="I74" s="14" t="s">
        <v>200</v>
      </c>
      <c r="J74" s="34"/>
      <c r="K74" s="34"/>
      <c r="L74" s="35"/>
      <c r="M74" s="35"/>
      <c r="N74" s="35"/>
      <c r="O74" s="35"/>
      <c r="P74" s="35"/>
      <c r="Q74" s="35"/>
      <c r="R74" s="34"/>
    </row>
    <row r="75">
      <c r="A75" s="1" t="s">
        <v>397</v>
      </c>
      <c r="B75" s="12" t="s">
        <v>398</v>
      </c>
      <c r="E75" s="10"/>
      <c r="G75" s="10"/>
      <c r="H75" s="13"/>
      <c r="I75" s="14" t="s">
        <v>200</v>
      </c>
      <c r="J75" s="34"/>
      <c r="K75" s="34"/>
      <c r="L75" s="35"/>
      <c r="M75" s="35"/>
      <c r="N75" s="35"/>
      <c r="O75" s="35"/>
      <c r="P75" s="35"/>
      <c r="Q75" s="35"/>
      <c r="R75" s="34"/>
    </row>
    <row r="76">
      <c r="A76" s="1" t="s">
        <v>399</v>
      </c>
      <c r="B76" s="12" t="s">
        <v>400</v>
      </c>
      <c r="E76" s="10"/>
      <c r="G76" s="10"/>
      <c r="H76" s="13"/>
      <c r="I76" s="14" t="s">
        <v>200</v>
      </c>
      <c r="J76" s="34"/>
      <c r="K76" s="34"/>
      <c r="L76" s="35"/>
      <c r="M76" s="35"/>
      <c r="N76" s="35"/>
      <c r="O76" s="35"/>
      <c r="P76" s="35"/>
      <c r="Q76" s="35"/>
      <c r="R76" s="34"/>
    </row>
    <row r="77">
      <c r="A77" s="1" t="s">
        <v>401</v>
      </c>
      <c r="B77" s="12" t="s">
        <v>402</v>
      </c>
      <c r="E77" s="10"/>
      <c r="G77" s="10"/>
      <c r="H77" s="13"/>
      <c r="I77" s="14" t="s">
        <v>200</v>
      </c>
      <c r="J77" s="34"/>
      <c r="K77" s="34"/>
      <c r="L77" s="35"/>
      <c r="M77" s="35"/>
      <c r="N77" s="35"/>
      <c r="O77" s="35"/>
      <c r="P77" s="35"/>
      <c r="Q77" s="35"/>
      <c r="R77" s="34"/>
    </row>
    <row r="78">
      <c r="A78" s="1" t="s">
        <v>403</v>
      </c>
      <c r="B78" s="12" t="s">
        <v>404</v>
      </c>
      <c r="E78" s="10"/>
      <c r="G78" s="10"/>
      <c r="H78" s="13"/>
      <c r="I78" s="14" t="s">
        <v>200</v>
      </c>
      <c r="J78" s="34"/>
      <c r="K78" s="34"/>
      <c r="L78" s="35"/>
      <c r="M78" s="35"/>
      <c r="N78" s="35"/>
      <c r="O78" s="35"/>
      <c r="P78" s="35"/>
      <c r="Q78" s="35"/>
      <c r="R78" s="34"/>
    </row>
    <row r="79">
      <c r="A79" s="1" t="s">
        <v>405</v>
      </c>
      <c r="B79" s="12" t="s">
        <v>406</v>
      </c>
      <c r="E79" s="10"/>
      <c r="G79" s="10"/>
      <c r="H79" s="13"/>
      <c r="I79" s="14" t="s">
        <v>200</v>
      </c>
      <c r="J79" s="34"/>
      <c r="K79" s="34"/>
      <c r="L79" s="35"/>
      <c r="M79" s="35"/>
      <c r="N79" s="35"/>
      <c r="O79" s="35"/>
      <c r="P79" s="35"/>
      <c r="Q79" s="35"/>
      <c r="R79" s="34"/>
    </row>
    <row r="80">
      <c r="A80" s="1" t="s">
        <v>407</v>
      </c>
      <c r="B80" s="12" t="s">
        <v>408</v>
      </c>
      <c r="E80" s="10"/>
      <c r="G80" s="10" t="s">
        <v>409</v>
      </c>
      <c r="H80" s="13"/>
      <c r="I80" s="14" t="s">
        <v>359</v>
      </c>
      <c r="J80" s="34"/>
      <c r="K80" s="34"/>
      <c r="L80" s="35"/>
      <c r="M80" s="35"/>
      <c r="N80" s="35"/>
      <c r="O80" s="35"/>
      <c r="P80" s="35"/>
      <c r="Q80" s="35"/>
      <c r="R80" s="34"/>
    </row>
    <row r="81">
      <c r="A81" s="1" t="s">
        <v>410</v>
      </c>
      <c r="B81" s="12" t="s">
        <v>411</v>
      </c>
      <c r="E81" s="21">
        <v>6.27904317E8</v>
      </c>
      <c r="G81" s="10" t="s">
        <v>412</v>
      </c>
      <c r="H81" s="13"/>
      <c r="I81" s="14" t="s">
        <v>413</v>
      </c>
      <c r="J81" s="34"/>
      <c r="K81" s="34"/>
      <c r="L81" s="35"/>
      <c r="M81" s="35"/>
      <c r="N81" s="35"/>
      <c r="O81" s="35"/>
      <c r="P81" s="35"/>
      <c r="Q81" s="35"/>
      <c r="R81" s="34"/>
    </row>
    <row r="82">
      <c r="A82" s="1" t="s">
        <v>414</v>
      </c>
      <c r="B82" s="12" t="s">
        <v>415</v>
      </c>
      <c r="E82" s="21">
        <v>6.27904317E8</v>
      </c>
      <c r="G82" s="10" t="s">
        <v>412</v>
      </c>
      <c r="H82" s="13"/>
      <c r="I82" s="14" t="s">
        <v>345</v>
      </c>
      <c r="J82" s="34"/>
      <c r="K82" s="34"/>
      <c r="L82" s="35"/>
      <c r="M82" s="35"/>
      <c r="N82" s="35"/>
      <c r="O82" s="35"/>
      <c r="P82" s="35"/>
      <c r="Q82" s="35"/>
      <c r="R82" s="34"/>
    </row>
    <row r="83">
      <c r="A83" s="1" t="s">
        <v>416</v>
      </c>
      <c r="B83" s="12" t="s">
        <v>417</v>
      </c>
      <c r="E83" s="21">
        <v>6.27904317E8</v>
      </c>
      <c r="G83" s="10" t="s">
        <v>412</v>
      </c>
      <c r="H83" s="13"/>
      <c r="I83" s="14" t="s">
        <v>345</v>
      </c>
      <c r="J83" s="34"/>
      <c r="K83" s="34"/>
      <c r="L83" s="35"/>
      <c r="M83" s="35"/>
      <c r="N83" s="35"/>
      <c r="O83" s="35"/>
      <c r="P83" s="35"/>
      <c r="Q83" s="35"/>
      <c r="R83" s="34"/>
    </row>
    <row r="84">
      <c r="A84" s="1" t="s">
        <v>419</v>
      </c>
      <c r="B84" s="12" t="s">
        <v>420</v>
      </c>
      <c r="E84" s="21">
        <v>6.27904317E8</v>
      </c>
      <c r="G84" s="10" t="s">
        <v>412</v>
      </c>
      <c r="H84" s="13"/>
      <c r="I84" s="14" t="s">
        <v>345</v>
      </c>
      <c r="J84" s="34"/>
      <c r="K84" s="34"/>
      <c r="L84" s="35"/>
      <c r="M84" s="35"/>
      <c r="N84" s="35"/>
      <c r="O84" s="35"/>
      <c r="P84" s="35"/>
      <c r="Q84" s="35"/>
      <c r="R84" s="34"/>
    </row>
    <row r="85">
      <c r="A85" s="1" t="s">
        <v>421</v>
      </c>
      <c r="B85" s="12" t="s">
        <v>422</v>
      </c>
      <c r="E85" s="21">
        <v>6.2212506E8</v>
      </c>
      <c r="G85" s="10" t="s">
        <v>423</v>
      </c>
      <c r="H85" s="13"/>
      <c r="I85" s="14" t="s">
        <v>345</v>
      </c>
      <c r="J85" s="34"/>
      <c r="K85" s="34"/>
      <c r="L85" s="35"/>
      <c r="M85" s="35"/>
      <c r="N85" s="35"/>
      <c r="O85" s="35"/>
      <c r="P85" s="35"/>
      <c r="Q85" s="35"/>
      <c r="R85" s="34"/>
    </row>
    <row r="86">
      <c r="A86" s="1" t="s">
        <v>424</v>
      </c>
      <c r="B86" s="12" t="s">
        <v>425</v>
      </c>
      <c r="E86" s="21">
        <v>6.65763478E8</v>
      </c>
      <c r="G86" s="10" t="s">
        <v>426</v>
      </c>
      <c r="H86" s="13"/>
      <c r="I86" s="14" t="s">
        <v>345</v>
      </c>
      <c r="J86" s="34"/>
      <c r="K86" s="34"/>
      <c r="L86" s="35"/>
      <c r="M86" s="35"/>
      <c r="N86" s="35"/>
      <c r="O86" s="35"/>
      <c r="P86" s="35"/>
      <c r="Q86" s="35"/>
      <c r="R86" s="34"/>
    </row>
    <row r="87">
      <c r="A87" s="1" t="s">
        <v>427</v>
      </c>
      <c r="B87" s="12" t="s">
        <v>428</v>
      </c>
      <c r="E87" s="21">
        <v>6.42198562E8</v>
      </c>
      <c r="G87" s="10" t="s">
        <v>429</v>
      </c>
      <c r="H87" s="13"/>
      <c r="I87" s="14" t="s">
        <v>284</v>
      </c>
      <c r="J87" s="34"/>
      <c r="K87" s="34"/>
      <c r="L87" s="35"/>
      <c r="M87" s="35"/>
      <c r="N87" s="35"/>
      <c r="O87" s="35"/>
      <c r="P87" s="35"/>
      <c r="Q87" s="35"/>
      <c r="R87" s="34"/>
    </row>
    <row r="88">
      <c r="A88" s="1" t="s">
        <v>430</v>
      </c>
      <c r="B88" s="12" t="s">
        <v>431</v>
      </c>
      <c r="E88" s="10"/>
      <c r="G88" s="10"/>
      <c r="H88" s="13"/>
      <c r="I88" s="14" t="s">
        <v>345</v>
      </c>
      <c r="J88" s="34"/>
      <c r="K88" s="34"/>
      <c r="L88" s="35"/>
      <c r="M88" s="35"/>
      <c r="N88" s="35"/>
      <c r="O88" s="35"/>
      <c r="P88" s="35"/>
      <c r="Q88" s="35"/>
      <c r="R88" s="34"/>
    </row>
    <row r="89">
      <c r="A89" s="1" t="s">
        <v>432</v>
      </c>
      <c r="B89" s="12" t="s">
        <v>433</v>
      </c>
      <c r="E89" s="10"/>
      <c r="G89" s="10"/>
      <c r="H89" s="13"/>
      <c r="I89" s="14" t="s">
        <v>345</v>
      </c>
      <c r="J89" s="34"/>
      <c r="K89" s="34"/>
      <c r="L89" s="35"/>
      <c r="M89" s="35"/>
      <c r="N89" s="35"/>
      <c r="O89" s="35"/>
      <c r="P89" s="35"/>
      <c r="Q89" s="35"/>
      <c r="R89" s="34"/>
    </row>
    <row r="90">
      <c r="A90" s="1" t="s">
        <v>434</v>
      </c>
      <c r="B90" s="12" t="s">
        <v>435</v>
      </c>
      <c r="E90" s="10"/>
      <c r="G90" s="10"/>
      <c r="H90" s="13"/>
      <c r="I90" s="14" t="s">
        <v>200</v>
      </c>
      <c r="J90" s="34"/>
      <c r="K90" s="34"/>
      <c r="L90" s="35"/>
      <c r="M90" s="35"/>
      <c r="N90" s="35"/>
      <c r="O90" s="35"/>
      <c r="P90" s="35"/>
      <c r="Q90" s="35"/>
      <c r="R90" s="34"/>
    </row>
    <row r="91">
      <c r="A91" s="1" t="s">
        <v>437</v>
      </c>
      <c r="B91" s="12" t="s">
        <v>438</v>
      </c>
      <c r="E91" s="10"/>
      <c r="G91" s="10"/>
      <c r="H91" s="13"/>
      <c r="I91" s="14" t="s">
        <v>200</v>
      </c>
      <c r="J91" s="34"/>
      <c r="K91" s="34"/>
      <c r="L91" s="35"/>
      <c r="M91" s="35"/>
      <c r="N91" s="35"/>
      <c r="O91" s="35"/>
      <c r="P91" s="35"/>
      <c r="Q91" s="35"/>
      <c r="R91" s="34"/>
    </row>
    <row r="92">
      <c r="A92" s="1" t="s">
        <v>439</v>
      </c>
      <c r="B92" s="12" t="s">
        <v>440</v>
      </c>
      <c r="E92" s="10"/>
      <c r="G92" s="10"/>
      <c r="H92" s="13"/>
      <c r="I92" s="14" t="s">
        <v>200</v>
      </c>
      <c r="J92" s="34"/>
      <c r="K92" s="34"/>
      <c r="L92" s="35"/>
      <c r="M92" s="35"/>
      <c r="N92" s="35"/>
      <c r="O92" s="35"/>
      <c r="P92" s="35"/>
      <c r="Q92" s="35"/>
      <c r="R92" s="34"/>
    </row>
    <row r="93">
      <c r="A93" s="1" t="s">
        <v>441</v>
      </c>
      <c r="B93" s="12" t="s">
        <v>442</v>
      </c>
      <c r="E93" s="21">
        <v>6.47193284E8</v>
      </c>
      <c r="G93" s="10" t="s">
        <v>443</v>
      </c>
      <c r="H93" s="13"/>
      <c r="I93" s="14" t="s">
        <v>200</v>
      </c>
      <c r="J93" s="34"/>
      <c r="K93" s="34"/>
      <c r="L93" s="35"/>
      <c r="M93" s="35"/>
      <c r="N93" s="35"/>
      <c r="O93" s="35"/>
      <c r="P93" s="35"/>
      <c r="Q93" s="35"/>
      <c r="R93" s="34"/>
    </row>
    <row r="94">
      <c r="A94" s="1" t="s">
        <v>444</v>
      </c>
      <c r="B94" s="12" t="s">
        <v>445</v>
      </c>
      <c r="E94" s="21"/>
      <c r="G94" s="10" t="s">
        <v>446</v>
      </c>
      <c r="H94" s="13"/>
      <c r="I94" s="14" t="s">
        <v>359</v>
      </c>
      <c r="J94" s="34"/>
      <c r="K94" s="34"/>
      <c r="L94" s="35"/>
      <c r="M94" s="35"/>
      <c r="N94" s="35"/>
      <c r="O94" s="35"/>
      <c r="P94" s="35"/>
      <c r="Q94" s="35"/>
      <c r="R94" s="34"/>
    </row>
    <row r="95">
      <c r="A95" s="1" t="s">
        <v>447</v>
      </c>
      <c r="B95" s="12" t="s">
        <v>448</v>
      </c>
      <c r="E95" s="21">
        <v>9.15272066E8</v>
      </c>
      <c r="G95" s="10" t="s">
        <v>449</v>
      </c>
      <c r="H95" s="13"/>
      <c r="I95" s="14" t="s">
        <v>200</v>
      </c>
      <c r="J95" s="34"/>
      <c r="K95" s="34"/>
      <c r="L95" s="35"/>
      <c r="M95" s="35"/>
      <c r="N95" s="35"/>
      <c r="O95" s="35"/>
      <c r="P95" s="35"/>
      <c r="Q95" s="35"/>
      <c r="R95" s="34"/>
    </row>
    <row r="96">
      <c r="A96" s="1" t="s">
        <v>450</v>
      </c>
      <c r="B96" s="12" t="s">
        <v>451</v>
      </c>
      <c r="E96" s="10"/>
      <c r="G96" s="10" t="s">
        <v>452</v>
      </c>
      <c r="H96" s="13"/>
      <c r="I96" s="14" t="s">
        <v>200</v>
      </c>
      <c r="J96" s="34"/>
      <c r="K96" s="34"/>
      <c r="L96" s="35"/>
      <c r="M96" s="35"/>
      <c r="N96" s="35"/>
      <c r="O96" s="35"/>
      <c r="P96" s="35"/>
      <c r="Q96" s="35"/>
      <c r="R96" s="34"/>
    </row>
    <row r="97">
      <c r="A97" s="1" t="s">
        <v>454</v>
      </c>
      <c r="B97" s="12" t="s">
        <v>174</v>
      </c>
      <c r="E97" s="10"/>
      <c r="G97" s="10" t="s">
        <v>455</v>
      </c>
      <c r="H97" s="15">
        <v>45879.0</v>
      </c>
      <c r="I97" s="14" t="s">
        <v>200</v>
      </c>
      <c r="J97" s="34"/>
      <c r="K97" s="34"/>
      <c r="L97" s="35"/>
      <c r="M97" s="35"/>
      <c r="N97" s="35"/>
      <c r="O97" s="35"/>
      <c r="P97" s="35"/>
      <c r="Q97" s="35"/>
      <c r="R97" s="34"/>
    </row>
    <row r="98">
      <c r="A98" s="1" t="s">
        <v>457</v>
      </c>
      <c r="B98" s="12" t="s">
        <v>156</v>
      </c>
      <c r="E98" s="10"/>
      <c r="G98" s="10" t="s">
        <v>458</v>
      </c>
      <c r="H98" s="13"/>
      <c r="I98" s="14" t="s">
        <v>200</v>
      </c>
      <c r="J98" s="34"/>
      <c r="K98" s="34"/>
      <c r="L98" s="35"/>
      <c r="M98" s="35"/>
      <c r="N98" s="35"/>
      <c r="O98" s="35"/>
      <c r="P98" s="35"/>
      <c r="Q98" s="35"/>
      <c r="R98" s="34"/>
    </row>
    <row r="99">
      <c r="A99" s="1" t="s">
        <v>459</v>
      </c>
      <c r="B99" s="12" t="s">
        <v>460</v>
      </c>
      <c r="E99" s="10"/>
      <c r="G99" s="10" t="s">
        <v>461</v>
      </c>
      <c r="H99" s="13"/>
      <c r="I99" s="14" t="s">
        <v>200</v>
      </c>
      <c r="J99" s="34"/>
      <c r="K99" s="34"/>
      <c r="L99" s="35"/>
      <c r="M99" s="35"/>
      <c r="N99" s="35"/>
      <c r="O99" s="35"/>
      <c r="P99" s="35"/>
      <c r="Q99" s="35"/>
      <c r="R99" s="34"/>
    </row>
    <row r="100">
      <c r="A100" s="1" t="s">
        <v>462</v>
      </c>
      <c r="B100" s="12" t="s">
        <v>463</v>
      </c>
      <c r="E100" s="10"/>
      <c r="G100" s="10" t="s">
        <v>464</v>
      </c>
      <c r="H100" s="13"/>
      <c r="I100" s="14" t="s">
        <v>345</v>
      </c>
      <c r="J100" s="34"/>
      <c r="K100" s="34"/>
      <c r="L100" s="35"/>
      <c r="M100" s="35"/>
      <c r="N100" s="35"/>
      <c r="O100" s="35"/>
      <c r="P100" s="35"/>
      <c r="Q100" s="35"/>
      <c r="R100" s="34"/>
    </row>
    <row r="101">
      <c r="A101" s="1" t="s">
        <v>465</v>
      </c>
      <c r="B101" s="12" t="s">
        <v>466</v>
      </c>
      <c r="E101" s="10"/>
      <c r="G101" s="10" t="s">
        <v>467</v>
      </c>
      <c r="H101" s="13"/>
      <c r="I101" s="14" t="s">
        <v>345</v>
      </c>
      <c r="J101" s="34"/>
      <c r="K101" s="34"/>
      <c r="L101" s="35"/>
      <c r="M101" s="35"/>
      <c r="N101" s="35"/>
      <c r="O101" s="35"/>
      <c r="P101" s="35"/>
      <c r="Q101" s="35"/>
      <c r="R101" s="34"/>
    </row>
    <row r="102">
      <c r="A102" s="1" t="s">
        <v>468</v>
      </c>
      <c r="B102" s="12" t="s">
        <v>469</v>
      </c>
      <c r="E102" s="10"/>
      <c r="G102" s="10"/>
      <c r="H102" s="13"/>
      <c r="I102" s="14" t="s">
        <v>200</v>
      </c>
      <c r="J102" s="34"/>
      <c r="K102" s="34"/>
      <c r="L102" s="35"/>
      <c r="M102" s="35"/>
      <c r="N102" s="35"/>
      <c r="O102" s="35"/>
      <c r="P102" s="35"/>
      <c r="Q102" s="35"/>
      <c r="R102" s="34"/>
    </row>
    <row r="103">
      <c r="A103" s="1" t="s">
        <v>470</v>
      </c>
      <c r="B103" s="12" t="s">
        <v>471</v>
      </c>
      <c r="E103" s="10"/>
      <c r="G103" s="10" t="s">
        <v>472</v>
      </c>
      <c r="H103" s="13"/>
      <c r="I103" s="14" t="s">
        <v>345</v>
      </c>
      <c r="J103" s="34"/>
      <c r="K103" s="34"/>
      <c r="L103" s="35"/>
      <c r="M103" s="35"/>
      <c r="N103" s="35"/>
      <c r="O103" s="35"/>
      <c r="P103" s="35"/>
      <c r="Q103" s="35"/>
      <c r="R103" s="34"/>
    </row>
    <row r="104">
      <c r="A104" s="1" t="s">
        <v>473</v>
      </c>
      <c r="B104" s="12" t="s">
        <v>474</v>
      </c>
      <c r="E104" s="10"/>
      <c r="G104" s="10"/>
      <c r="H104" s="13"/>
      <c r="I104" s="14" t="s">
        <v>345</v>
      </c>
      <c r="J104" s="34"/>
      <c r="K104" s="34"/>
      <c r="L104" s="35"/>
      <c r="M104" s="35"/>
      <c r="N104" s="35"/>
      <c r="O104" s="35"/>
      <c r="P104" s="35"/>
      <c r="Q104" s="35"/>
      <c r="R104" s="34"/>
    </row>
    <row r="105">
      <c r="A105" s="1" t="s">
        <v>475</v>
      </c>
      <c r="B105" s="12" t="s">
        <v>476</v>
      </c>
      <c r="E105" s="10"/>
      <c r="G105" s="10" t="s">
        <v>477</v>
      </c>
      <c r="H105" s="13"/>
      <c r="I105" s="14" t="s">
        <v>345</v>
      </c>
      <c r="J105" s="34"/>
      <c r="K105" s="34"/>
      <c r="L105" s="35"/>
      <c r="M105" s="35"/>
      <c r="N105" s="35"/>
      <c r="O105" s="35"/>
      <c r="P105" s="35"/>
      <c r="Q105" s="35"/>
      <c r="R105" s="34"/>
    </row>
    <row r="106">
      <c r="A106" s="1" t="s">
        <v>478</v>
      </c>
      <c r="B106" s="12" t="s">
        <v>479</v>
      </c>
      <c r="E106" s="10"/>
      <c r="G106" s="10" t="s">
        <v>480</v>
      </c>
      <c r="H106" s="13"/>
      <c r="I106" s="14" t="s">
        <v>345</v>
      </c>
      <c r="J106" s="34"/>
      <c r="K106" s="34"/>
      <c r="L106" s="35"/>
      <c r="M106" s="35"/>
      <c r="N106" s="35"/>
      <c r="O106" s="35"/>
      <c r="P106" s="35"/>
      <c r="Q106" s="35"/>
      <c r="R106" s="34"/>
    </row>
    <row r="107">
      <c r="A107" s="1" t="s">
        <v>481</v>
      </c>
      <c r="B107" s="12" t="s">
        <v>482</v>
      </c>
      <c r="E107" s="10"/>
      <c r="G107" s="10"/>
      <c r="H107" s="13"/>
      <c r="I107" s="14" t="s">
        <v>345</v>
      </c>
      <c r="J107" s="34"/>
      <c r="K107" s="34"/>
      <c r="L107" s="35"/>
      <c r="M107" s="35"/>
      <c r="N107" s="35"/>
      <c r="O107" s="35"/>
      <c r="P107" s="35"/>
      <c r="Q107" s="35"/>
      <c r="R107" s="34"/>
    </row>
    <row r="108">
      <c r="A108" s="1" t="s">
        <v>483</v>
      </c>
      <c r="B108" s="12" t="s">
        <v>484</v>
      </c>
      <c r="E108" s="10"/>
      <c r="G108" s="10" t="s">
        <v>485</v>
      </c>
      <c r="H108" s="13"/>
      <c r="I108" s="14" t="s">
        <v>345</v>
      </c>
      <c r="J108" s="34"/>
      <c r="K108" s="34"/>
      <c r="L108" s="35"/>
      <c r="M108" s="35"/>
      <c r="N108" s="35"/>
      <c r="O108" s="35"/>
      <c r="P108" s="35"/>
      <c r="Q108" s="35"/>
      <c r="R108" s="34"/>
    </row>
    <row r="109">
      <c r="A109" s="1" t="s">
        <v>486</v>
      </c>
      <c r="B109" s="12" t="s">
        <v>487</v>
      </c>
      <c r="E109" s="10"/>
      <c r="G109" s="10" t="s">
        <v>488</v>
      </c>
      <c r="H109" s="13"/>
      <c r="I109" s="14" t="s">
        <v>345</v>
      </c>
      <c r="J109" s="34"/>
      <c r="K109" s="34"/>
      <c r="L109" s="35"/>
      <c r="M109" s="35"/>
      <c r="N109" s="35"/>
      <c r="O109" s="35"/>
      <c r="P109" s="35"/>
      <c r="Q109" s="35"/>
      <c r="R109" s="34"/>
    </row>
    <row r="110">
      <c r="A110" s="1" t="s">
        <v>489</v>
      </c>
      <c r="B110" s="12" t="s">
        <v>490</v>
      </c>
      <c r="E110" s="10"/>
      <c r="G110" s="10" t="s">
        <v>491</v>
      </c>
      <c r="H110" s="13"/>
      <c r="I110" s="14" t="s">
        <v>345</v>
      </c>
      <c r="J110" s="34"/>
      <c r="K110" s="34"/>
      <c r="L110" s="35"/>
      <c r="M110" s="35"/>
      <c r="N110" s="35"/>
      <c r="O110" s="35"/>
      <c r="P110" s="35"/>
      <c r="Q110" s="35"/>
      <c r="R110" s="34"/>
    </row>
    <row r="111">
      <c r="A111" s="1" t="s">
        <v>492</v>
      </c>
      <c r="B111" s="12" t="s">
        <v>493</v>
      </c>
      <c r="E111" s="10"/>
      <c r="G111" s="10" t="s">
        <v>494</v>
      </c>
      <c r="H111" s="13"/>
      <c r="I111" s="14" t="s">
        <v>345</v>
      </c>
      <c r="J111" s="34"/>
      <c r="K111" s="34"/>
      <c r="L111" s="35"/>
      <c r="M111" s="35"/>
      <c r="N111" s="35"/>
      <c r="O111" s="35"/>
      <c r="P111" s="35"/>
      <c r="Q111" s="35"/>
      <c r="R111" s="34"/>
    </row>
    <row r="112">
      <c r="A112" s="1" t="s">
        <v>495</v>
      </c>
      <c r="B112" s="12" t="s">
        <v>496</v>
      </c>
      <c r="E112" s="10"/>
      <c r="G112" s="10" t="s">
        <v>497</v>
      </c>
      <c r="H112" s="13"/>
      <c r="I112" s="14" t="s">
        <v>345</v>
      </c>
      <c r="J112" s="34"/>
      <c r="K112" s="34"/>
      <c r="L112" s="35"/>
      <c r="M112" s="35"/>
      <c r="N112" s="35"/>
      <c r="O112" s="35"/>
      <c r="P112" s="35"/>
      <c r="Q112" s="35"/>
      <c r="R112" s="34"/>
    </row>
    <row r="113">
      <c r="A113" s="1" t="s">
        <v>498</v>
      </c>
      <c r="B113" s="12" t="s">
        <v>499</v>
      </c>
      <c r="E113" s="10"/>
      <c r="G113" s="10"/>
      <c r="H113" s="13"/>
      <c r="I113" s="14" t="s">
        <v>345</v>
      </c>
      <c r="J113" s="34"/>
      <c r="K113" s="34"/>
      <c r="L113" s="35"/>
      <c r="M113" s="35"/>
      <c r="N113" s="35"/>
      <c r="O113" s="35"/>
      <c r="P113" s="35"/>
      <c r="Q113" s="35"/>
      <c r="R113" s="34"/>
    </row>
    <row r="114">
      <c r="A114" s="1" t="s">
        <v>500</v>
      </c>
      <c r="B114" s="12" t="s">
        <v>501</v>
      </c>
      <c r="E114" s="10"/>
      <c r="G114" s="10" t="s">
        <v>502</v>
      </c>
      <c r="H114" s="13"/>
      <c r="I114" s="14" t="s">
        <v>345</v>
      </c>
      <c r="J114" s="34"/>
      <c r="K114" s="34"/>
      <c r="L114" s="35"/>
      <c r="M114" s="35"/>
      <c r="N114" s="35"/>
      <c r="O114" s="35"/>
      <c r="P114" s="35"/>
      <c r="Q114" s="35"/>
      <c r="R114" s="34"/>
    </row>
    <row r="115">
      <c r="A115" s="1" t="s">
        <v>503</v>
      </c>
      <c r="B115" s="12" t="s">
        <v>504</v>
      </c>
      <c r="E115" s="10"/>
      <c r="G115" s="10" t="s">
        <v>505</v>
      </c>
      <c r="H115" s="13"/>
      <c r="I115" s="14" t="s">
        <v>345</v>
      </c>
      <c r="J115" s="34"/>
      <c r="K115" s="34"/>
      <c r="L115" s="35"/>
      <c r="M115" s="35"/>
      <c r="N115" s="35"/>
      <c r="O115" s="35"/>
      <c r="P115" s="35"/>
      <c r="Q115" s="35"/>
      <c r="R115" s="34"/>
    </row>
    <row r="116">
      <c r="A116" s="1" t="s">
        <v>506</v>
      </c>
      <c r="B116" s="12" t="s">
        <v>507</v>
      </c>
      <c r="E116" s="10"/>
      <c r="G116" s="10" t="s">
        <v>508</v>
      </c>
      <c r="H116" s="13"/>
      <c r="I116" s="14" t="s">
        <v>345</v>
      </c>
      <c r="J116" s="34"/>
      <c r="K116" s="34"/>
      <c r="L116" s="35"/>
      <c r="M116" s="35"/>
      <c r="N116" s="35"/>
      <c r="O116" s="35"/>
      <c r="P116" s="35"/>
      <c r="Q116" s="35"/>
      <c r="R116" s="34"/>
    </row>
    <row r="117">
      <c r="A117" s="1" t="s">
        <v>509</v>
      </c>
      <c r="B117" s="12" t="s">
        <v>510</v>
      </c>
      <c r="E117" s="10"/>
      <c r="G117" s="10" t="s">
        <v>508</v>
      </c>
      <c r="H117" s="13"/>
      <c r="I117" s="14" t="s">
        <v>345</v>
      </c>
      <c r="J117" s="34"/>
      <c r="K117" s="34"/>
      <c r="L117" s="35"/>
      <c r="M117" s="35"/>
      <c r="N117" s="35"/>
      <c r="O117" s="35"/>
      <c r="P117" s="35"/>
      <c r="Q117" s="35"/>
      <c r="R117" s="34"/>
    </row>
    <row r="118">
      <c r="A118" s="1" t="s">
        <v>511</v>
      </c>
      <c r="B118" s="12" t="s">
        <v>138</v>
      </c>
      <c r="E118" s="10"/>
      <c r="G118" s="10"/>
      <c r="H118" s="13"/>
      <c r="I118" s="14" t="s">
        <v>200</v>
      </c>
      <c r="J118" s="34"/>
      <c r="K118" s="34"/>
      <c r="L118" s="35"/>
      <c r="M118" s="35"/>
      <c r="N118" s="35"/>
      <c r="O118" s="35"/>
      <c r="P118" s="35"/>
      <c r="Q118" s="35"/>
      <c r="R118" s="34"/>
    </row>
    <row r="119">
      <c r="A119" s="1" t="s">
        <v>512</v>
      </c>
      <c r="B119" s="12" t="s">
        <v>178</v>
      </c>
      <c r="E119" s="10"/>
      <c r="G119" s="10" t="s">
        <v>513</v>
      </c>
      <c r="H119" s="15">
        <v>45881.0</v>
      </c>
      <c r="I119" s="14" t="s">
        <v>200</v>
      </c>
      <c r="J119" s="34"/>
      <c r="K119" s="34"/>
      <c r="L119" s="35"/>
      <c r="M119" s="35"/>
      <c r="N119" s="35"/>
      <c r="O119" s="35"/>
      <c r="P119" s="35"/>
      <c r="Q119" s="35"/>
      <c r="R119" s="34"/>
    </row>
    <row r="120">
      <c r="A120" s="1" t="s">
        <v>515</v>
      </c>
      <c r="B120" s="12" t="s">
        <v>516</v>
      </c>
      <c r="E120" s="10"/>
      <c r="G120" s="10" t="s">
        <v>517</v>
      </c>
      <c r="H120" s="13"/>
      <c r="I120" s="14" t="s">
        <v>345</v>
      </c>
      <c r="J120" s="34"/>
      <c r="K120" s="34"/>
      <c r="L120" s="35"/>
      <c r="M120" s="35"/>
      <c r="N120" s="35"/>
      <c r="O120" s="35"/>
      <c r="P120" s="35"/>
      <c r="Q120" s="35"/>
      <c r="R120" s="34"/>
    </row>
    <row r="121">
      <c r="A121" s="1" t="s">
        <v>518</v>
      </c>
      <c r="B121" s="12" t="s">
        <v>168</v>
      </c>
      <c r="E121" s="10"/>
      <c r="G121" s="10" t="s">
        <v>519</v>
      </c>
      <c r="H121" s="13"/>
      <c r="I121" s="14" t="s">
        <v>284</v>
      </c>
      <c r="J121" s="34"/>
      <c r="K121" s="34"/>
      <c r="L121" s="35"/>
      <c r="M121" s="35"/>
      <c r="N121" s="35"/>
      <c r="O121" s="35"/>
      <c r="P121" s="35"/>
      <c r="Q121" s="35"/>
      <c r="R121" s="34"/>
    </row>
    <row r="122">
      <c r="A122" s="1" t="s">
        <v>521</v>
      </c>
      <c r="B122" s="12" t="s">
        <v>170</v>
      </c>
      <c r="E122" s="10"/>
      <c r="G122" s="10" t="s">
        <v>522</v>
      </c>
      <c r="H122" s="13"/>
      <c r="I122" s="14" t="s">
        <v>286</v>
      </c>
      <c r="J122" s="34"/>
      <c r="K122" s="34"/>
      <c r="L122" s="35"/>
      <c r="M122" s="35"/>
      <c r="N122" s="35"/>
      <c r="O122" s="35"/>
      <c r="P122" s="35"/>
      <c r="Q122" s="35"/>
      <c r="R122" s="34"/>
    </row>
    <row r="123">
      <c r="A123" s="1" t="s">
        <v>523</v>
      </c>
      <c r="B123" s="12" t="s">
        <v>172</v>
      </c>
      <c r="E123" s="10"/>
      <c r="G123" s="10" t="s">
        <v>522</v>
      </c>
      <c r="H123" s="13"/>
      <c r="I123" s="14" t="s">
        <v>286</v>
      </c>
      <c r="J123" s="34"/>
      <c r="K123" s="34"/>
      <c r="L123" s="35"/>
      <c r="M123" s="35"/>
      <c r="N123" s="35"/>
      <c r="O123" s="35"/>
      <c r="P123" s="35"/>
      <c r="Q123" s="35"/>
      <c r="R123" s="34"/>
    </row>
    <row r="124">
      <c r="A124" s="1" t="s">
        <v>524</v>
      </c>
      <c r="B124" s="12" t="s">
        <v>113</v>
      </c>
      <c r="E124" s="10"/>
      <c r="G124" s="10" t="s">
        <v>525</v>
      </c>
      <c r="H124" s="13">
        <v>45919.0</v>
      </c>
      <c r="I124" s="14" t="s">
        <v>200</v>
      </c>
      <c r="J124" s="34"/>
      <c r="K124" s="34"/>
      <c r="L124" s="35"/>
      <c r="M124" s="35"/>
      <c r="N124" s="35"/>
      <c r="O124" s="35"/>
      <c r="P124" s="35"/>
      <c r="Q124" s="35"/>
      <c r="R124" s="34"/>
    </row>
    <row r="125">
      <c r="A125" s="1" t="s">
        <v>526</v>
      </c>
      <c r="B125" s="12" t="s">
        <v>111</v>
      </c>
      <c r="E125" s="10"/>
      <c r="G125" s="10" t="s">
        <v>527</v>
      </c>
      <c r="H125" s="13">
        <v>45919.0</v>
      </c>
      <c r="I125" s="14" t="s">
        <v>200</v>
      </c>
      <c r="J125" s="34"/>
      <c r="K125" s="34"/>
      <c r="L125" s="35"/>
      <c r="M125" s="35"/>
      <c r="N125" s="35"/>
      <c r="O125" s="35"/>
      <c r="P125" s="35"/>
      <c r="Q125" s="35"/>
      <c r="R125" s="34"/>
    </row>
    <row r="126">
      <c r="A126" s="1" t="s">
        <v>528</v>
      </c>
      <c r="B126" s="12" t="s">
        <v>106</v>
      </c>
      <c r="E126" s="10"/>
      <c r="G126" s="10" t="s">
        <v>529</v>
      </c>
      <c r="H126" s="13">
        <v>45919.0</v>
      </c>
      <c r="I126" s="14" t="s">
        <v>200</v>
      </c>
      <c r="J126" s="34"/>
      <c r="K126" s="34"/>
      <c r="L126" s="35"/>
      <c r="M126" s="35"/>
      <c r="N126" s="35"/>
      <c r="O126" s="35"/>
      <c r="P126" s="35"/>
      <c r="Q126" s="35"/>
      <c r="R126" s="34"/>
    </row>
    <row r="127">
      <c r="A127" s="1" t="s">
        <v>530</v>
      </c>
      <c r="B127" s="12" t="s">
        <v>531</v>
      </c>
      <c r="E127" s="10"/>
      <c r="G127" s="10" t="s">
        <v>532</v>
      </c>
      <c r="H127" s="15">
        <v>45917.0</v>
      </c>
      <c r="I127" s="14" t="s">
        <v>200</v>
      </c>
      <c r="J127" s="34"/>
      <c r="K127" s="34"/>
      <c r="L127" s="35"/>
      <c r="M127" s="35"/>
      <c r="N127" s="35"/>
      <c r="O127" s="35"/>
      <c r="P127" s="35"/>
      <c r="Q127" s="35"/>
      <c r="R127" s="34"/>
    </row>
    <row r="128">
      <c r="A128" s="1" t="s">
        <v>533</v>
      </c>
      <c r="B128" s="12" t="s">
        <v>534</v>
      </c>
      <c r="E128" s="10"/>
      <c r="G128" s="10" t="s">
        <v>535</v>
      </c>
      <c r="H128" s="15">
        <v>45916.0</v>
      </c>
      <c r="I128" s="14" t="s">
        <v>200</v>
      </c>
      <c r="J128" s="34"/>
      <c r="K128" s="34"/>
      <c r="L128" s="35"/>
      <c r="M128" s="35"/>
      <c r="N128" s="35"/>
      <c r="O128" s="35"/>
      <c r="P128" s="35"/>
      <c r="Q128" s="35"/>
      <c r="R128" s="34"/>
    </row>
    <row r="129">
      <c r="A129" s="1" t="s">
        <v>536</v>
      </c>
      <c r="B129" s="12" t="s">
        <v>537</v>
      </c>
      <c r="E129" s="10"/>
      <c r="G129" s="10" t="s">
        <v>538</v>
      </c>
      <c r="H129" s="15">
        <v>45929.0</v>
      </c>
      <c r="I129" s="14" t="s">
        <v>200</v>
      </c>
      <c r="J129" s="34"/>
      <c r="K129" s="34"/>
      <c r="L129" s="35"/>
      <c r="M129" s="35"/>
      <c r="N129" s="35"/>
      <c r="O129" s="35"/>
      <c r="P129" s="35"/>
      <c r="Q129" s="35"/>
      <c r="R129" s="34"/>
    </row>
    <row r="130">
      <c r="A130" s="1" t="s">
        <v>539</v>
      </c>
      <c r="B130" s="12" t="s">
        <v>540</v>
      </c>
      <c r="E130" s="10"/>
      <c r="G130" s="10" t="s">
        <v>532</v>
      </c>
      <c r="H130" s="15">
        <v>45917.0</v>
      </c>
      <c r="I130" s="14" t="s">
        <v>200</v>
      </c>
      <c r="J130" s="34"/>
      <c r="K130" s="34"/>
      <c r="L130" s="35"/>
      <c r="M130" s="35"/>
      <c r="N130" s="35"/>
      <c r="O130" s="35"/>
      <c r="P130" s="35"/>
      <c r="Q130" s="35"/>
      <c r="R130" s="34"/>
    </row>
    <row r="131">
      <c r="A131" s="1" t="s">
        <v>541</v>
      </c>
      <c r="B131" s="12" t="s">
        <v>542</v>
      </c>
      <c r="E131" s="10"/>
      <c r="G131" s="10" t="s">
        <v>543</v>
      </c>
      <c r="H131" s="13"/>
      <c r="I131" s="14" t="s">
        <v>200</v>
      </c>
      <c r="J131" s="34"/>
      <c r="K131" s="34"/>
      <c r="L131" s="35"/>
      <c r="M131" s="35"/>
      <c r="N131" s="35"/>
      <c r="O131" s="35"/>
      <c r="P131" s="35"/>
      <c r="Q131" s="35"/>
      <c r="R131" s="34"/>
    </row>
    <row r="132">
      <c r="A132" s="1" t="s">
        <v>544</v>
      </c>
      <c r="B132" s="12" t="s">
        <v>545</v>
      </c>
      <c r="E132" s="10"/>
      <c r="G132" s="10"/>
      <c r="H132" s="13"/>
      <c r="I132" s="16"/>
      <c r="J132" s="34"/>
      <c r="K132" s="34"/>
      <c r="L132" s="35"/>
      <c r="M132" s="35"/>
      <c r="N132" s="35"/>
      <c r="O132" s="35"/>
      <c r="P132" s="35"/>
      <c r="Q132" s="35"/>
      <c r="R132" s="34"/>
    </row>
    <row r="133">
      <c r="A133" s="1" t="s">
        <v>546</v>
      </c>
      <c r="B133" s="12" t="s">
        <v>547</v>
      </c>
      <c r="E133" s="10"/>
      <c r="G133" s="10" t="s">
        <v>548</v>
      </c>
      <c r="H133" s="13"/>
      <c r="I133" s="16"/>
      <c r="J133" s="34"/>
      <c r="K133" s="34"/>
      <c r="L133" s="35"/>
      <c r="M133" s="35"/>
      <c r="N133" s="35"/>
      <c r="O133" s="35"/>
      <c r="P133" s="35"/>
      <c r="Q133" s="35"/>
      <c r="R133" s="34"/>
    </row>
    <row r="134">
      <c r="A134" s="1" t="s">
        <v>549</v>
      </c>
      <c r="B134" s="12" t="s">
        <v>550</v>
      </c>
      <c r="E134" s="10"/>
      <c r="G134" s="10" t="s">
        <v>551</v>
      </c>
      <c r="H134" s="13"/>
      <c r="I134" s="16"/>
      <c r="J134" s="34"/>
      <c r="K134" s="34"/>
      <c r="L134" s="35"/>
      <c r="M134" s="35"/>
      <c r="N134" s="35"/>
      <c r="O134" s="35"/>
      <c r="P134" s="35"/>
      <c r="Q134" s="35"/>
      <c r="R134" s="34"/>
    </row>
    <row r="135">
      <c r="A135" s="1" t="s">
        <v>552</v>
      </c>
      <c r="B135" s="12" t="s">
        <v>553</v>
      </c>
      <c r="E135" s="10"/>
      <c r="G135" s="10" t="s">
        <v>554</v>
      </c>
      <c r="H135" s="13"/>
      <c r="I135" s="16"/>
      <c r="J135" s="34"/>
      <c r="K135" s="34"/>
      <c r="L135" s="35"/>
      <c r="M135" s="35"/>
      <c r="N135" s="35"/>
      <c r="O135" s="35"/>
      <c r="P135" s="35"/>
      <c r="Q135" s="35"/>
      <c r="R135" s="34"/>
    </row>
    <row r="136">
      <c r="A136" s="1" t="s">
        <v>555</v>
      </c>
      <c r="B136" s="12" t="s">
        <v>556</v>
      </c>
      <c r="E136" s="10"/>
      <c r="G136" s="10" t="s">
        <v>497</v>
      </c>
      <c r="H136" s="13"/>
      <c r="I136" s="16"/>
      <c r="J136" s="34"/>
      <c r="K136" s="34"/>
      <c r="L136" s="35"/>
      <c r="M136" s="35"/>
      <c r="N136" s="35"/>
      <c r="O136" s="35"/>
      <c r="P136" s="35"/>
      <c r="Q136" s="35"/>
      <c r="R136" s="34"/>
    </row>
    <row r="137">
      <c r="A137" s="1" t="s">
        <v>557</v>
      </c>
      <c r="B137" s="12" t="s">
        <v>558</v>
      </c>
      <c r="E137" s="10"/>
      <c r="G137" s="10" t="s">
        <v>559</v>
      </c>
      <c r="H137" s="13"/>
      <c r="I137" s="16"/>
      <c r="J137" s="34"/>
      <c r="K137" s="34"/>
      <c r="L137" s="35"/>
      <c r="M137" s="35"/>
      <c r="N137" s="35"/>
      <c r="O137" s="35"/>
      <c r="P137" s="35"/>
      <c r="Q137" s="35"/>
      <c r="R137" s="34"/>
    </row>
    <row r="138">
      <c r="A138" s="1" t="s">
        <v>560</v>
      </c>
      <c r="B138" s="12" t="s">
        <v>561</v>
      </c>
      <c r="E138" s="10"/>
      <c r="G138" s="10" t="s">
        <v>562</v>
      </c>
      <c r="H138" s="13"/>
      <c r="I138" s="10"/>
      <c r="J138" s="34"/>
      <c r="K138" s="34"/>
      <c r="L138" s="35"/>
      <c r="M138" s="35"/>
      <c r="N138" s="35"/>
      <c r="O138" s="35"/>
      <c r="P138" s="35"/>
      <c r="Q138" s="35"/>
      <c r="R138" s="34"/>
    </row>
    <row r="139">
      <c r="A139" s="1" t="s">
        <v>563</v>
      </c>
      <c r="B139" s="12" t="s">
        <v>564</v>
      </c>
      <c r="E139" s="10"/>
      <c r="G139" s="10"/>
      <c r="H139" s="13"/>
      <c r="I139" s="10"/>
      <c r="J139" s="34"/>
      <c r="K139" s="34"/>
      <c r="L139" s="35"/>
      <c r="M139" s="35"/>
      <c r="N139" s="35"/>
      <c r="O139" s="35"/>
      <c r="P139" s="35"/>
      <c r="Q139" s="35"/>
      <c r="R139" s="34"/>
    </row>
    <row r="140">
      <c r="A140" s="1" t="s">
        <v>565</v>
      </c>
      <c r="B140" s="12" t="s">
        <v>121</v>
      </c>
      <c r="H140" s="19">
        <v>45926.0</v>
      </c>
      <c r="I140" s="1" t="s">
        <v>572</v>
      </c>
      <c r="J140" s="34"/>
      <c r="K140" s="34"/>
      <c r="L140" s="35"/>
      <c r="M140" s="35"/>
      <c r="N140" s="35"/>
      <c r="O140" s="35"/>
      <c r="P140" s="35"/>
      <c r="Q140" s="35"/>
      <c r="R140" s="34"/>
    </row>
    <row r="141">
      <c r="A141" s="1" t="s">
        <v>573</v>
      </c>
      <c r="B141" s="1" t="s">
        <v>129</v>
      </c>
      <c r="H141" s="19">
        <v>45926.0</v>
      </c>
      <c r="I141" s="1" t="s">
        <v>628</v>
      </c>
      <c r="J141" s="34"/>
      <c r="K141" s="34"/>
      <c r="L141" s="35"/>
      <c r="M141" s="35"/>
      <c r="N141" s="35"/>
      <c r="O141" s="35"/>
      <c r="P141" s="35"/>
      <c r="Q141" s="35"/>
      <c r="R141" s="34"/>
    </row>
    <row r="142">
      <c r="A142" s="1" t="s">
        <v>575</v>
      </c>
      <c r="B142" s="12" t="s">
        <v>118</v>
      </c>
      <c r="H142" s="19">
        <v>45926.0</v>
      </c>
      <c r="I142" s="1" t="s">
        <v>576</v>
      </c>
      <c r="J142" s="34"/>
      <c r="K142" s="34"/>
      <c r="L142" s="35"/>
      <c r="M142" s="35"/>
      <c r="N142" s="35"/>
      <c r="O142" s="35"/>
      <c r="P142" s="35"/>
      <c r="Q142" s="35"/>
      <c r="R142" s="34"/>
    </row>
    <row r="143">
      <c r="A143" s="1" t="s">
        <v>577</v>
      </c>
      <c r="B143" s="12" t="s">
        <v>100</v>
      </c>
      <c r="H143" s="19">
        <v>45926.0</v>
      </c>
      <c r="J143" s="34"/>
      <c r="K143" s="34"/>
      <c r="L143" s="35"/>
      <c r="M143" s="35"/>
      <c r="N143" s="35"/>
      <c r="O143" s="35"/>
      <c r="P143" s="35"/>
      <c r="Q143" s="35"/>
      <c r="R143" s="34"/>
    </row>
    <row r="144">
      <c r="A144" s="1" t="s">
        <v>579</v>
      </c>
      <c r="B144" s="12" t="s">
        <v>131</v>
      </c>
      <c r="H144" s="19">
        <v>45926.0</v>
      </c>
      <c r="I144" s="10"/>
      <c r="J144" s="34"/>
      <c r="K144" s="34"/>
      <c r="L144" s="35"/>
      <c r="M144" s="35"/>
      <c r="N144" s="35"/>
      <c r="O144" s="35"/>
      <c r="P144" s="35"/>
      <c r="Q144" s="35"/>
      <c r="R144" s="34"/>
    </row>
    <row r="145">
      <c r="A145" s="1" t="s">
        <v>583</v>
      </c>
      <c r="B145" s="12" t="s">
        <v>115</v>
      </c>
      <c r="H145" s="19">
        <v>45926.0</v>
      </c>
      <c r="I145" s="10"/>
      <c r="J145" s="34"/>
      <c r="K145" s="34"/>
      <c r="L145" s="35"/>
      <c r="M145" s="35"/>
      <c r="N145" s="35"/>
      <c r="O145" s="35"/>
      <c r="P145" s="35"/>
      <c r="Q145" s="35"/>
      <c r="R145" s="34"/>
    </row>
    <row r="146">
      <c r="A146" s="1" t="s">
        <v>584</v>
      </c>
      <c r="B146" s="12" t="s">
        <v>49</v>
      </c>
      <c r="H146" s="19">
        <v>45926.0</v>
      </c>
      <c r="I146" s="11" t="s">
        <v>200</v>
      </c>
      <c r="J146" s="34"/>
      <c r="K146" s="34"/>
      <c r="L146" s="35"/>
      <c r="M146" s="35"/>
      <c r="N146" s="35"/>
      <c r="O146" s="35"/>
      <c r="P146" s="35"/>
      <c r="Q146" s="35"/>
      <c r="R146" s="34"/>
    </row>
    <row r="147">
      <c r="A147" s="1" t="s">
        <v>586</v>
      </c>
      <c r="B147" s="12" t="s">
        <v>17</v>
      </c>
      <c r="H147" s="27">
        <v>45913.0</v>
      </c>
      <c r="I147" s="11" t="s">
        <v>215</v>
      </c>
      <c r="J147" s="34"/>
      <c r="K147" s="34"/>
      <c r="L147" s="35"/>
      <c r="M147" s="35"/>
      <c r="N147" s="35"/>
      <c r="O147" s="35"/>
      <c r="P147" s="35"/>
      <c r="Q147" s="35"/>
      <c r="R147" s="34"/>
    </row>
    <row r="148">
      <c r="A148" s="1" t="s">
        <v>589</v>
      </c>
      <c r="B148" s="1" t="s">
        <v>590</v>
      </c>
      <c r="H148" s="30"/>
      <c r="I148" s="1" t="s">
        <v>200</v>
      </c>
      <c r="J148" s="34"/>
      <c r="K148" s="34"/>
      <c r="L148" s="35"/>
      <c r="M148" s="35"/>
      <c r="N148" s="35"/>
      <c r="O148" s="35"/>
      <c r="P148" s="35"/>
      <c r="Q148" s="35"/>
      <c r="R148" s="34"/>
    </row>
    <row r="149">
      <c r="A149" s="1" t="s">
        <v>591</v>
      </c>
      <c r="B149" s="1" t="s">
        <v>592</v>
      </c>
      <c r="H149" s="31">
        <v>45942.0</v>
      </c>
      <c r="I149" s="11" t="s">
        <v>215</v>
      </c>
      <c r="J149" s="34"/>
      <c r="K149" s="34"/>
      <c r="L149" s="35"/>
      <c r="M149" s="35"/>
      <c r="N149" s="35"/>
      <c r="O149" s="35"/>
      <c r="P149" s="35"/>
      <c r="Q149" s="35"/>
      <c r="R149" s="34"/>
    </row>
    <row r="150">
      <c r="A150" s="1" t="s">
        <v>594</v>
      </c>
      <c r="B150" s="1" t="s">
        <v>629</v>
      </c>
      <c r="H150" s="19">
        <v>45908.0</v>
      </c>
      <c r="I150" s="11" t="s">
        <v>221</v>
      </c>
      <c r="J150" s="34"/>
      <c r="K150" s="34"/>
      <c r="L150" s="35"/>
      <c r="M150" s="35"/>
      <c r="N150" s="35"/>
      <c r="O150" s="35"/>
      <c r="P150" s="35"/>
      <c r="Q150" s="35"/>
      <c r="R150" s="34"/>
    </row>
    <row r="151">
      <c r="A151" s="1" t="s">
        <v>597</v>
      </c>
      <c r="B151" s="1" t="s">
        <v>619</v>
      </c>
      <c r="H151" s="30"/>
      <c r="I151" s="1" t="s">
        <v>284</v>
      </c>
      <c r="J151" s="34"/>
      <c r="K151" s="34"/>
      <c r="L151" s="35"/>
      <c r="M151" s="35"/>
      <c r="N151" s="35"/>
      <c r="O151" s="35"/>
      <c r="P151" s="35"/>
      <c r="Q151" s="35"/>
      <c r="R151" s="34"/>
    </row>
    <row r="152">
      <c r="A152" s="1" t="s">
        <v>599</v>
      </c>
      <c r="B152" s="10" t="s">
        <v>140</v>
      </c>
      <c r="C152" s="10"/>
      <c r="D152" s="10"/>
      <c r="I152" s="1" t="s">
        <v>630</v>
      </c>
      <c r="M152" s="30"/>
    </row>
    <row r="153">
      <c r="A153" s="1" t="s">
        <v>600</v>
      </c>
      <c r="B153" s="10" t="s">
        <v>136</v>
      </c>
      <c r="C153" s="11"/>
      <c r="D153" s="11"/>
      <c r="I153" s="1" t="s">
        <v>630</v>
      </c>
      <c r="M153" s="30"/>
    </row>
    <row r="154">
      <c r="A154" s="1" t="s">
        <v>601</v>
      </c>
      <c r="B154" s="10" t="s">
        <v>144</v>
      </c>
      <c r="C154" s="10"/>
      <c r="D154" s="10"/>
      <c r="I154" s="1" t="s">
        <v>630</v>
      </c>
      <c r="M154" s="30"/>
    </row>
    <row r="155">
      <c r="A155" s="1" t="s">
        <v>602</v>
      </c>
      <c r="B155" s="10" t="s">
        <v>154</v>
      </c>
      <c r="C155" s="11"/>
      <c r="D155" s="11"/>
      <c r="I155" s="1" t="s">
        <v>630</v>
      </c>
      <c r="M155" s="30"/>
    </row>
    <row r="156">
      <c r="A156" s="1" t="s">
        <v>604</v>
      </c>
      <c r="B156" s="10" t="s">
        <v>603</v>
      </c>
      <c r="C156" s="10"/>
      <c r="D156" s="10"/>
      <c r="I156" s="1" t="s">
        <v>630</v>
      </c>
      <c r="M156" s="30"/>
    </row>
    <row r="157">
      <c r="A157" s="1" t="s">
        <v>606</v>
      </c>
      <c r="B157" s="10" t="s">
        <v>605</v>
      </c>
      <c r="C157" s="11"/>
      <c r="D157" s="11"/>
      <c r="I157" s="1" t="s">
        <v>630</v>
      </c>
      <c r="M157" s="30"/>
    </row>
    <row r="158">
      <c r="A158" s="1" t="s">
        <v>608</v>
      </c>
      <c r="B158" s="10" t="s">
        <v>607</v>
      </c>
      <c r="C158" s="10"/>
      <c r="D158" s="10"/>
      <c r="I158" s="1" t="s">
        <v>630</v>
      </c>
      <c r="M158" s="30"/>
    </row>
    <row r="159">
      <c r="A159" s="1" t="s">
        <v>609</v>
      </c>
      <c r="B159" s="10" t="s">
        <v>166</v>
      </c>
      <c r="C159" s="11"/>
      <c r="D159" s="11"/>
      <c r="I159" s="1" t="s">
        <v>630</v>
      </c>
      <c r="M159" s="30"/>
    </row>
    <row r="160">
      <c r="A160" s="1" t="s">
        <v>620</v>
      </c>
      <c r="B160" s="10" t="s">
        <v>148</v>
      </c>
      <c r="C160" s="10"/>
      <c r="D160" s="10"/>
      <c r="I160" s="1" t="s">
        <v>630</v>
      </c>
      <c r="M160" s="30"/>
    </row>
    <row r="161">
      <c r="H161" s="30"/>
      <c r="J161" s="34"/>
      <c r="K161" s="34"/>
      <c r="L161" s="35"/>
      <c r="M161" s="35"/>
      <c r="N161" s="35"/>
      <c r="O161" s="35"/>
      <c r="P161" s="35"/>
      <c r="Q161" s="35"/>
      <c r="R161" s="34"/>
    </row>
    <row r="162">
      <c r="H162" s="30"/>
      <c r="J162" s="34"/>
      <c r="K162" s="34"/>
      <c r="L162" s="35"/>
      <c r="M162" s="35"/>
      <c r="N162" s="35"/>
      <c r="O162" s="35"/>
      <c r="P162" s="35"/>
      <c r="Q162" s="35"/>
      <c r="R162" s="34"/>
    </row>
    <row r="163">
      <c r="H163" s="30"/>
      <c r="J163" s="34"/>
      <c r="K163" s="34"/>
      <c r="L163" s="35"/>
      <c r="M163" s="35"/>
      <c r="N163" s="35"/>
      <c r="O163" s="35"/>
      <c r="P163" s="35"/>
      <c r="Q163" s="35"/>
      <c r="R163" s="34"/>
    </row>
    <row r="164">
      <c r="H164" s="30"/>
    </row>
    <row r="165">
      <c r="H165" s="30"/>
    </row>
    <row r="166">
      <c r="H166" s="30"/>
    </row>
    <row r="167">
      <c r="H167" s="30"/>
    </row>
    <row r="168">
      <c r="H168" s="30"/>
    </row>
    <row r="169">
      <c r="H169" s="30"/>
    </row>
    <row r="170">
      <c r="H170" s="30"/>
    </row>
    <row r="171">
      <c r="H171" s="30"/>
    </row>
    <row r="172">
      <c r="H172" s="30"/>
    </row>
    <row r="173">
      <c r="H173" s="30"/>
    </row>
    <row r="174">
      <c r="H174" s="30"/>
    </row>
    <row r="175">
      <c r="H175" s="30"/>
    </row>
    <row r="176">
      <c r="H176" s="30"/>
    </row>
    <row r="177">
      <c r="H177" s="30"/>
    </row>
    <row r="178">
      <c r="H178" s="30"/>
    </row>
    <row r="179">
      <c r="H179" s="30"/>
    </row>
    <row r="180">
      <c r="H180" s="30"/>
    </row>
    <row r="181">
      <c r="H181" s="30"/>
    </row>
    <row r="182">
      <c r="H182" s="30"/>
    </row>
    <row r="183">
      <c r="H183" s="30"/>
    </row>
    <row r="184">
      <c r="H184" s="30"/>
    </row>
    <row r="185">
      <c r="H185" s="30"/>
    </row>
    <row r="186">
      <c r="H186" s="30"/>
    </row>
    <row r="187">
      <c r="H187" s="30"/>
    </row>
    <row r="188">
      <c r="H188" s="30"/>
    </row>
    <row r="189">
      <c r="H189" s="30"/>
    </row>
    <row r="190">
      <c r="H190" s="30"/>
    </row>
    <row r="191">
      <c r="H191" s="30"/>
    </row>
    <row r="192">
      <c r="H192" s="30"/>
    </row>
    <row r="193">
      <c r="H193" s="30"/>
    </row>
    <row r="194">
      <c r="H194" s="30"/>
    </row>
    <row r="195">
      <c r="H195" s="30"/>
    </row>
    <row r="196">
      <c r="H196" s="30"/>
    </row>
    <row r="197">
      <c r="H197" s="30"/>
    </row>
    <row r="198">
      <c r="H198" s="30"/>
    </row>
    <row r="199">
      <c r="H199" s="30"/>
    </row>
    <row r="200">
      <c r="H200" s="30"/>
    </row>
    <row r="201">
      <c r="H201" s="30"/>
    </row>
    <row r="202">
      <c r="H202" s="30"/>
    </row>
    <row r="203">
      <c r="H203" s="30"/>
    </row>
    <row r="204">
      <c r="H204" s="30"/>
    </row>
    <row r="205">
      <c r="H205" s="30"/>
    </row>
    <row r="206">
      <c r="H206" s="30"/>
    </row>
    <row r="207">
      <c r="H207" s="30"/>
    </row>
    <row r="208">
      <c r="H208" s="30"/>
    </row>
    <row r="209">
      <c r="H209" s="30"/>
    </row>
    <row r="210">
      <c r="H210" s="30"/>
    </row>
    <row r="211">
      <c r="H211" s="30"/>
    </row>
    <row r="212">
      <c r="H212" s="30"/>
    </row>
    <row r="213">
      <c r="H213" s="30"/>
    </row>
    <row r="214">
      <c r="H214" s="30"/>
    </row>
    <row r="215">
      <c r="H215" s="30"/>
    </row>
    <row r="216">
      <c r="H216" s="30"/>
    </row>
    <row r="217">
      <c r="H217" s="30"/>
    </row>
    <row r="218">
      <c r="H218" s="30"/>
    </row>
    <row r="219">
      <c r="H219" s="30"/>
    </row>
    <row r="220">
      <c r="H220" s="30"/>
    </row>
    <row r="221">
      <c r="H221" s="30"/>
    </row>
    <row r="222">
      <c r="H222" s="30"/>
    </row>
    <row r="223">
      <c r="H223" s="30"/>
    </row>
    <row r="224">
      <c r="H224" s="30"/>
    </row>
    <row r="225">
      <c r="H225" s="30"/>
    </row>
    <row r="226">
      <c r="H226" s="30"/>
    </row>
    <row r="227">
      <c r="H227" s="30"/>
    </row>
    <row r="228">
      <c r="H228" s="30"/>
    </row>
    <row r="229">
      <c r="H229" s="30"/>
    </row>
    <row r="230">
      <c r="H230" s="30"/>
    </row>
    <row r="231">
      <c r="H231" s="30"/>
    </row>
    <row r="232">
      <c r="H232" s="30"/>
    </row>
    <row r="233">
      <c r="H233" s="30"/>
    </row>
    <row r="234">
      <c r="H234" s="30"/>
    </row>
    <row r="235">
      <c r="H235" s="30"/>
    </row>
    <row r="236">
      <c r="H236" s="30"/>
    </row>
    <row r="237">
      <c r="H237" s="30"/>
    </row>
    <row r="238">
      <c r="H238" s="30"/>
    </row>
    <row r="239">
      <c r="H239" s="30"/>
    </row>
    <row r="240">
      <c r="H240" s="30"/>
    </row>
    <row r="241">
      <c r="H241" s="30"/>
    </row>
    <row r="242">
      <c r="H242" s="30"/>
    </row>
    <row r="243">
      <c r="H243" s="30"/>
    </row>
    <row r="244">
      <c r="H244" s="30"/>
    </row>
    <row r="245">
      <c r="H245" s="30"/>
    </row>
    <row r="246">
      <c r="H246" s="30"/>
    </row>
    <row r="247">
      <c r="H247" s="30"/>
    </row>
    <row r="248">
      <c r="H248" s="30"/>
    </row>
    <row r="249">
      <c r="H249" s="30"/>
    </row>
    <row r="250">
      <c r="H250" s="30"/>
    </row>
    <row r="251">
      <c r="H251" s="30"/>
    </row>
    <row r="252">
      <c r="H252" s="30"/>
    </row>
    <row r="253">
      <c r="H253" s="30"/>
    </row>
    <row r="254">
      <c r="H254" s="30"/>
    </row>
    <row r="255">
      <c r="H255" s="30"/>
    </row>
    <row r="256">
      <c r="H256" s="30"/>
    </row>
    <row r="257">
      <c r="H257" s="30"/>
    </row>
    <row r="258">
      <c r="H258" s="30"/>
    </row>
    <row r="259">
      <c r="H259" s="30"/>
    </row>
    <row r="260">
      <c r="H260" s="30"/>
    </row>
    <row r="261">
      <c r="H261" s="30"/>
    </row>
    <row r="262">
      <c r="H262" s="30"/>
    </row>
    <row r="263">
      <c r="H263" s="30"/>
    </row>
    <row r="264">
      <c r="H264" s="30"/>
    </row>
    <row r="265">
      <c r="H265" s="30"/>
    </row>
    <row r="266">
      <c r="H266" s="30"/>
    </row>
    <row r="267">
      <c r="H267" s="30"/>
    </row>
    <row r="268">
      <c r="H268" s="30"/>
    </row>
    <row r="269">
      <c r="H269" s="30"/>
    </row>
    <row r="270">
      <c r="H270" s="30"/>
    </row>
    <row r="271">
      <c r="H271" s="30"/>
    </row>
    <row r="272">
      <c r="H272" s="30"/>
    </row>
    <row r="273">
      <c r="H273" s="30"/>
    </row>
    <row r="274">
      <c r="H274" s="30"/>
    </row>
    <row r="275">
      <c r="H275" s="30"/>
    </row>
    <row r="276">
      <c r="H276" s="30"/>
    </row>
    <row r="277">
      <c r="H277" s="30"/>
    </row>
    <row r="278">
      <c r="H278" s="30"/>
    </row>
    <row r="279">
      <c r="H279" s="30"/>
    </row>
    <row r="280">
      <c r="H280" s="30"/>
    </row>
    <row r="281">
      <c r="H281" s="30"/>
    </row>
    <row r="282">
      <c r="H282" s="30"/>
    </row>
    <row r="283">
      <c r="H283" s="30"/>
    </row>
    <row r="284">
      <c r="H284" s="30"/>
    </row>
    <row r="285">
      <c r="H285" s="30"/>
    </row>
    <row r="286">
      <c r="H286" s="30"/>
    </row>
    <row r="287">
      <c r="H287" s="30"/>
    </row>
    <row r="288">
      <c r="H288" s="30"/>
    </row>
    <row r="289">
      <c r="H289" s="30"/>
    </row>
    <row r="290">
      <c r="H290" s="30"/>
    </row>
    <row r="291">
      <c r="H291" s="30"/>
    </row>
    <row r="292">
      <c r="H292" s="30"/>
    </row>
    <row r="293">
      <c r="H293" s="30"/>
    </row>
    <row r="294">
      <c r="H294" s="30"/>
    </row>
    <row r="295">
      <c r="H295" s="30"/>
    </row>
    <row r="296">
      <c r="H296" s="30"/>
    </row>
    <row r="297">
      <c r="H297" s="30"/>
    </row>
    <row r="298">
      <c r="H298" s="30"/>
    </row>
    <row r="299">
      <c r="H299" s="30"/>
    </row>
    <row r="300">
      <c r="H300" s="30"/>
    </row>
    <row r="301">
      <c r="H301" s="30"/>
    </row>
    <row r="302">
      <c r="H302" s="30"/>
    </row>
    <row r="303">
      <c r="H303" s="30"/>
    </row>
    <row r="304">
      <c r="H304" s="30"/>
    </row>
    <row r="305">
      <c r="H305" s="30"/>
    </row>
    <row r="306">
      <c r="H306" s="30"/>
    </row>
    <row r="307">
      <c r="H307" s="30"/>
    </row>
    <row r="308">
      <c r="H308" s="30"/>
    </row>
    <row r="309">
      <c r="H309" s="30"/>
    </row>
    <row r="310">
      <c r="H310" s="30"/>
    </row>
    <row r="311">
      <c r="H311" s="30"/>
    </row>
    <row r="312">
      <c r="H312" s="30"/>
    </row>
    <row r="313">
      <c r="H313" s="30"/>
    </row>
    <row r="314">
      <c r="H314" s="30"/>
    </row>
    <row r="315">
      <c r="H315" s="30"/>
    </row>
    <row r="316">
      <c r="H316" s="30"/>
    </row>
    <row r="317">
      <c r="H317" s="30"/>
    </row>
    <row r="318">
      <c r="H318" s="30"/>
    </row>
    <row r="319">
      <c r="H319" s="30"/>
    </row>
    <row r="320">
      <c r="H320" s="30"/>
    </row>
    <row r="321">
      <c r="H321" s="30"/>
    </row>
    <row r="322">
      <c r="H322" s="30"/>
    </row>
    <row r="323">
      <c r="H323" s="30"/>
    </row>
    <row r="324">
      <c r="H324" s="30"/>
    </row>
    <row r="325">
      <c r="H325" s="30"/>
    </row>
    <row r="326">
      <c r="H326" s="30"/>
    </row>
    <row r="327">
      <c r="H327" s="30"/>
    </row>
    <row r="328">
      <c r="H328" s="30"/>
    </row>
    <row r="329">
      <c r="H329" s="30"/>
    </row>
    <row r="330">
      <c r="H330" s="30"/>
    </row>
    <row r="331">
      <c r="H331" s="30"/>
    </row>
    <row r="332">
      <c r="H332" s="30"/>
    </row>
    <row r="333">
      <c r="H333" s="30"/>
    </row>
    <row r="334">
      <c r="H334" s="30"/>
    </row>
    <row r="335">
      <c r="H335" s="30"/>
    </row>
    <row r="336">
      <c r="H336" s="30"/>
    </row>
    <row r="337">
      <c r="H337" s="30"/>
    </row>
    <row r="338">
      <c r="H338" s="30"/>
    </row>
    <row r="339">
      <c r="H339" s="30"/>
    </row>
    <row r="340">
      <c r="H340" s="30"/>
    </row>
    <row r="341">
      <c r="H341" s="30"/>
    </row>
    <row r="342">
      <c r="H342" s="30"/>
    </row>
    <row r="343">
      <c r="H343" s="30"/>
    </row>
    <row r="344">
      <c r="H344" s="30"/>
    </row>
    <row r="345">
      <c r="H345" s="30"/>
    </row>
    <row r="346">
      <c r="H346" s="30"/>
    </row>
    <row r="347">
      <c r="H347" s="30"/>
    </row>
    <row r="348">
      <c r="H348" s="30"/>
    </row>
    <row r="349">
      <c r="H349" s="30"/>
    </row>
    <row r="350">
      <c r="H350" s="30"/>
    </row>
    <row r="351">
      <c r="H351" s="30"/>
    </row>
    <row r="352">
      <c r="H352" s="30"/>
    </row>
    <row r="353">
      <c r="H353" s="30"/>
    </row>
    <row r="354">
      <c r="H354" s="30"/>
    </row>
    <row r="355">
      <c r="H355" s="30"/>
    </row>
    <row r="356">
      <c r="H356" s="30"/>
    </row>
    <row r="357">
      <c r="H357" s="30"/>
    </row>
    <row r="358">
      <c r="H358" s="30"/>
    </row>
    <row r="359">
      <c r="H359" s="30"/>
    </row>
    <row r="360">
      <c r="H360" s="30"/>
    </row>
    <row r="361">
      <c r="H361" s="30"/>
    </row>
    <row r="362">
      <c r="H362" s="30"/>
    </row>
    <row r="363">
      <c r="H363" s="30"/>
    </row>
    <row r="364">
      <c r="H364" s="30"/>
    </row>
    <row r="365">
      <c r="H365" s="30"/>
    </row>
    <row r="366">
      <c r="H366" s="30"/>
    </row>
    <row r="367">
      <c r="H367" s="30"/>
    </row>
    <row r="368">
      <c r="H368" s="30"/>
    </row>
    <row r="369">
      <c r="H369" s="30"/>
    </row>
    <row r="370">
      <c r="H370" s="30"/>
    </row>
    <row r="371">
      <c r="H371" s="30"/>
    </row>
    <row r="372">
      <c r="H372" s="30"/>
    </row>
    <row r="373">
      <c r="H373" s="30"/>
    </row>
    <row r="374">
      <c r="H374" s="30"/>
    </row>
    <row r="375">
      <c r="H375" s="30"/>
    </row>
    <row r="376">
      <c r="H376" s="30"/>
    </row>
    <row r="377">
      <c r="H377" s="30"/>
    </row>
    <row r="378">
      <c r="H378" s="30"/>
    </row>
    <row r="379">
      <c r="H379" s="30"/>
    </row>
    <row r="380">
      <c r="H380" s="30"/>
    </row>
    <row r="381">
      <c r="H381" s="30"/>
    </row>
    <row r="382">
      <c r="H382" s="30"/>
    </row>
    <row r="383">
      <c r="H383" s="30"/>
    </row>
    <row r="384">
      <c r="H384" s="30"/>
    </row>
    <row r="385">
      <c r="H385" s="30"/>
    </row>
    <row r="386">
      <c r="H386" s="30"/>
    </row>
    <row r="387">
      <c r="H387" s="30"/>
    </row>
    <row r="388">
      <c r="H388" s="30"/>
    </row>
    <row r="389">
      <c r="H389" s="30"/>
    </row>
    <row r="390">
      <c r="H390" s="30"/>
    </row>
    <row r="391">
      <c r="H391" s="30"/>
    </row>
    <row r="392">
      <c r="H392" s="30"/>
    </row>
    <row r="393">
      <c r="H393" s="30"/>
    </row>
    <row r="394">
      <c r="H394" s="30"/>
    </row>
    <row r="395">
      <c r="H395" s="30"/>
    </row>
    <row r="396">
      <c r="H396" s="30"/>
    </row>
    <row r="397">
      <c r="H397" s="30"/>
    </row>
    <row r="398">
      <c r="H398" s="30"/>
    </row>
    <row r="399">
      <c r="H399" s="30"/>
    </row>
    <row r="400">
      <c r="H400" s="30"/>
    </row>
    <row r="401">
      <c r="H401" s="30"/>
    </row>
    <row r="402">
      <c r="H402" s="30"/>
    </row>
    <row r="403">
      <c r="H403" s="30"/>
    </row>
    <row r="404">
      <c r="H404" s="30"/>
    </row>
    <row r="405">
      <c r="H405" s="30"/>
    </row>
    <row r="406">
      <c r="H406" s="30"/>
    </row>
    <row r="407">
      <c r="H407" s="30"/>
    </row>
    <row r="408">
      <c r="H408" s="30"/>
    </row>
    <row r="409">
      <c r="H409" s="30"/>
    </row>
    <row r="410">
      <c r="H410" s="30"/>
    </row>
    <row r="411">
      <c r="H411" s="30"/>
    </row>
    <row r="412">
      <c r="H412" s="30"/>
    </row>
    <row r="413">
      <c r="H413" s="30"/>
    </row>
    <row r="414">
      <c r="H414" s="30"/>
    </row>
    <row r="415">
      <c r="H415" s="30"/>
    </row>
    <row r="416">
      <c r="H416" s="30"/>
    </row>
    <row r="417">
      <c r="H417" s="30"/>
    </row>
    <row r="418">
      <c r="H418" s="30"/>
    </row>
    <row r="419">
      <c r="H419" s="30"/>
    </row>
    <row r="420">
      <c r="H420" s="30"/>
    </row>
    <row r="421">
      <c r="H421" s="30"/>
    </row>
    <row r="422">
      <c r="H422" s="30"/>
    </row>
    <row r="423">
      <c r="H423" s="30"/>
    </row>
    <row r="424">
      <c r="H424" s="30"/>
    </row>
    <row r="425">
      <c r="H425" s="30"/>
    </row>
    <row r="426">
      <c r="H426" s="30"/>
    </row>
    <row r="427">
      <c r="H427" s="30"/>
    </row>
    <row r="428">
      <c r="H428" s="30"/>
    </row>
    <row r="429">
      <c r="H429" s="30"/>
    </row>
    <row r="430">
      <c r="H430" s="30"/>
    </row>
    <row r="431">
      <c r="H431" s="30"/>
    </row>
    <row r="432">
      <c r="H432" s="30"/>
    </row>
    <row r="433">
      <c r="H433" s="30"/>
    </row>
    <row r="434">
      <c r="H434" s="30"/>
    </row>
    <row r="435">
      <c r="H435" s="30"/>
    </row>
    <row r="436">
      <c r="H436" s="30"/>
    </row>
    <row r="437">
      <c r="H437" s="30"/>
    </row>
    <row r="438">
      <c r="H438" s="30"/>
    </row>
    <row r="439">
      <c r="H439" s="30"/>
    </row>
    <row r="440">
      <c r="H440" s="30"/>
    </row>
    <row r="441">
      <c r="H441" s="30"/>
    </row>
    <row r="442">
      <c r="H442" s="30"/>
    </row>
    <row r="443">
      <c r="H443" s="30"/>
    </row>
    <row r="444">
      <c r="H444" s="30"/>
    </row>
    <row r="445">
      <c r="H445" s="30"/>
    </row>
    <row r="446">
      <c r="H446" s="30"/>
    </row>
    <row r="447">
      <c r="H447" s="30"/>
    </row>
    <row r="448">
      <c r="H448" s="30"/>
    </row>
    <row r="449">
      <c r="H449" s="30"/>
    </row>
    <row r="450">
      <c r="H450" s="30"/>
    </row>
    <row r="451">
      <c r="H451" s="30"/>
    </row>
    <row r="452">
      <c r="H452" s="30"/>
    </row>
    <row r="453">
      <c r="H453" s="30"/>
    </row>
    <row r="454">
      <c r="H454" s="30"/>
    </row>
    <row r="455">
      <c r="H455" s="30"/>
    </row>
    <row r="456">
      <c r="H456" s="30"/>
    </row>
    <row r="457">
      <c r="H457" s="30"/>
    </row>
    <row r="458">
      <c r="H458" s="30"/>
    </row>
    <row r="459">
      <c r="H459" s="30"/>
    </row>
    <row r="460">
      <c r="H460" s="30"/>
    </row>
    <row r="461">
      <c r="H461" s="30"/>
    </row>
    <row r="462">
      <c r="H462" s="30"/>
    </row>
    <row r="463">
      <c r="H463" s="30"/>
    </row>
    <row r="464">
      <c r="H464" s="30"/>
    </row>
    <row r="465">
      <c r="H465" s="30"/>
    </row>
    <row r="466">
      <c r="H466" s="30"/>
    </row>
    <row r="467">
      <c r="H467" s="30"/>
    </row>
    <row r="468">
      <c r="H468" s="30"/>
    </row>
    <row r="469">
      <c r="H469" s="30"/>
    </row>
    <row r="470">
      <c r="H470" s="30"/>
    </row>
    <row r="471">
      <c r="H471" s="30"/>
    </row>
    <row r="472">
      <c r="H472" s="30"/>
    </row>
    <row r="473">
      <c r="H473" s="30"/>
    </row>
    <row r="474">
      <c r="H474" s="30"/>
    </row>
    <row r="475">
      <c r="H475" s="30"/>
    </row>
    <row r="476">
      <c r="H476" s="30"/>
    </row>
    <row r="477">
      <c r="H477" s="30"/>
    </row>
    <row r="478">
      <c r="H478" s="30"/>
    </row>
    <row r="479">
      <c r="H479" s="30"/>
    </row>
    <row r="480">
      <c r="H480" s="30"/>
    </row>
    <row r="481">
      <c r="H481" s="30"/>
    </row>
    <row r="482">
      <c r="H482" s="30"/>
    </row>
    <row r="483">
      <c r="H483" s="30"/>
    </row>
    <row r="484">
      <c r="H484" s="30"/>
    </row>
    <row r="485">
      <c r="H485" s="30"/>
    </row>
    <row r="486">
      <c r="H486" s="30"/>
    </row>
    <row r="487">
      <c r="H487" s="30"/>
    </row>
    <row r="488">
      <c r="H488" s="30"/>
    </row>
    <row r="489">
      <c r="H489" s="30"/>
    </row>
    <row r="490">
      <c r="H490" s="30"/>
    </row>
    <row r="491">
      <c r="H491" s="30"/>
    </row>
    <row r="492">
      <c r="H492" s="30"/>
    </row>
    <row r="493">
      <c r="H493" s="30"/>
    </row>
    <row r="494">
      <c r="H494" s="30"/>
    </row>
    <row r="495">
      <c r="H495" s="30"/>
    </row>
    <row r="496">
      <c r="H496" s="30"/>
    </row>
    <row r="497">
      <c r="H497" s="30"/>
    </row>
    <row r="498">
      <c r="H498" s="30"/>
    </row>
    <row r="499">
      <c r="H499" s="30"/>
    </row>
    <row r="500">
      <c r="H500" s="30"/>
    </row>
    <row r="501">
      <c r="H501" s="30"/>
    </row>
    <row r="502">
      <c r="H502" s="30"/>
    </row>
    <row r="503">
      <c r="H503" s="30"/>
    </row>
    <row r="504">
      <c r="H504" s="30"/>
    </row>
    <row r="505">
      <c r="H505" s="30"/>
    </row>
    <row r="506">
      <c r="H506" s="30"/>
    </row>
    <row r="507">
      <c r="H507" s="30"/>
    </row>
    <row r="508">
      <c r="H508" s="30"/>
    </row>
    <row r="509">
      <c r="H509" s="30"/>
    </row>
    <row r="510">
      <c r="H510" s="30"/>
    </row>
    <row r="511">
      <c r="H511" s="30"/>
    </row>
    <row r="512">
      <c r="H512" s="30"/>
    </row>
    <row r="513">
      <c r="H513" s="30"/>
    </row>
    <row r="514">
      <c r="H514" s="30"/>
    </row>
    <row r="515">
      <c r="H515" s="30"/>
    </row>
    <row r="516">
      <c r="H516" s="30"/>
    </row>
    <row r="517">
      <c r="H517" s="30"/>
    </row>
    <row r="518">
      <c r="H518" s="30"/>
    </row>
    <row r="519">
      <c r="H519" s="30"/>
    </row>
    <row r="520">
      <c r="H520" s="30"/>
    </row>
    <row r="521">
      <c r="H521" s="30"/>
    </row>
    <row r="522">
      <c r="H522" s="30"/>
    </row>
    <row r="523">
      <c r="H523" s="30"/>
    </row>
    <row r="524">
      <c r="H524" s="30"/>
    </row>
    <row r="525">
      <c r="H525" s="30"/>
    </row>
    <row r="526">
      <c r="H526" s="30"/>
    </row>
    <row r="527">
      <c r="H527" s="30"/>
    </row>
    <row r="528">
      <c r="H528" s="30"/>
    </row>
    <row r="529">
      <c r="H529" s="30"/>
    </row>
    <row r="530">
      <c r="H530" s="30"/>
    </row>
    <row r="531">
      <c r="H531" s="30"/>
    </row>
    <row r="532">
      <c r="H532" s="30"/>
    </row>
    <row r="533">
      <c r="H533" s="30"/>
    </row>
    <row r="534">
      <c r="H534" s="30"/>
    </row>
    <row r="535">
      <c r="H535" s="30"/>
    </row>
    <row r="536">
      <c r="H536" s="30"/>
    </row>
    <row r="537">
      <c r="H537" s="30"/>
    </row>
    <row r="538">
      <c r="H538" s="30"/>
    </row>
    <row r="539">
      <c r="H539" s="30"/>
    </row>
    <row r="540">
      <c r="H540" s="30"/>
    </row>
    <row r="541">
      <c r="H541" s="30"/>
    </row>
    <row r="542">
      <c r="H542" s="30"/>
    </row>
    <row r="543">
      <c r="H543" s="30"/>
    </row>
    <row r="544">
      <c r="H544" s="30"/>
    </row>
    <row r="545">
      <c r="H545" s="30"/>
    </row>
    <row r="546">
      <c r="H546" s="30"/>
    </row>
    <row r="547">
      <c r="H547" s="30"/>
    </row>
    <row r="548">
      <c r="H548" s="30"/>
    </row>
    <row r="549">
      <c r="H549" s="30"/>
    </row>
    <row r="550">
      <c r="H550" s="30"/>
    </row>
    <row r="551">
      <c r="H551" s="30"/>
    </row>
    <row r="552">
      <c r="H552" s="30"/>
    </row>
    <row r="553">
      <c r="H553" s="30"/>
    </row>
    <row r="554">
      <c r="H554" s="30"/>
    </row>
    <row r="555">
      <c r="H555" s="30"/>
    </row>
    <row r="556">
      <c r="H556" s="30"/>
    </row>
    <row r="557">
      <c r="H557" s="30"/>
    </row>
    <row r="558">
      <c r="H558" s="30"/>
    </row>
    <row r="559">
      <c r="H559" s="30"/>
    </row>
    <row r="560">
      <c r="H560" s="30"/>
    </row>
    <row r="561">
      <c r="H561" s="30"/>
    </row>
    <row r="562">
      <c r="H562" s="30"/>
    </row>
    <row r="563">
      <c r="H563" s="30"/>
    </row>
    <row r="564">
      <c r="H564" s="30"/>
    </row>
    <row r="565">
      <c r="H565" s="30"/>
    </row>
    <row r="566">
      <c r="H566" s="30"/>
    </row>
    <row r="567">
      <c r="H567" s="30"/>
    </row>
    <row r="568">
      <c r="H568" s="30"/>
    </row>
    <row r="569">
      <c r="H569" s="30"/>
    </row>
    <row r="570">
      <c r="H570" s="30"/>
    </row>
    <row r="571">
      <c r="H571" s="30"/>
    </row>
    <row r="572">
      <c r="H572" s="30"/>
    </row>
    <row r="573">
      <c r="H573" s="30"/>
    </row>
    <row r="574">
      <c r="H574" s="30"/>
    </row>
    <row r="575">
      <c r="H575" s="30"/>
    </row>
    <row r="576">
      <c r="H576" s="30"/>
    </row>
    <row r="577">
      <c r="H577" s="30"/>
    </row>
    <row r="578">
      <c r="H578" s="30"/>
    </row>
    <row r="579">
      <c r="H579" s="30"/>
    </row>
    <row r="580">
      <c r="H580" s="30"/>
    </row>
    <row r="581">
      <c r="H581" s="30"/>
    </row>
    <row r="582">
      <c r="H582" s="30"/>
    </row>
    <row r="583">
      <c r="H583" s="30"/>
    </row>
    <row r="584">
      <c r="H584" s="30"/>
    </row>
    <row r="585">
      <c r="H585" s="30"/>
    </row>
    <row r="586">
      <c r="H586" s="30"/>
    </row>
    <row r="587">
      <c r="H587" s="30"/>
    </row>
    <row r="588">
      <c r="H588" s="30"/>
    </row>
    <row r="589">
      <c r="H589" s="30"/>
    </row>
    <row r="590">
      <c r="H590" s="30"/>
    </row>
    <row r="591">
      <c r="H591" s="30"/>
    </row>
    <row r="592">
      <c r="H592" s="30"/>
    </row>
    <row r="593">
      <c r="H593" s="30"/>
    </row>
    <row r="594">
      <c r="H594" s="30"/>
    </row>
    <row r="595">
      <c r="H595" s="30"/>
    </row>
    <row r="596">
      <c r="H596" s="30"/>
    </row>
    <row r="597">
      <c r="H597" s="30"/>
    </row>
    <row r="598">
      <c r="H598" s="30"/>
    </row>
    <row r="599">
      <c r="H599" s="30"/>
    </row>
    <row r="600">
      <c r="H600" s="30"/>
    </row>
    <row r="601">
      <c r="H601" s="30"/>
    </row>
    <row r="602">
      <c r="H602" s="30"/>
    </row>
    <row r="603">
      <c r="H603" s="30"/>
    </row>
    <row r="604">
      <c r="H604" s="30"/>
    </row>
    <row r="605">
      <c r="H605" s="30"/>
    </row>
    <row r="606">
      <c r="H606" s="30"/>
    </row>
    <row r="607">
      <c r="H607" s="30"/>
    </row>
    <row r="608">
      <c r="H608" s="30"/>
    </row>
    <row r="609">
      <c r="H609" s="30"/>
    </row>
    <row r="610">
      <c r="H610" s="30"/>
    </row>
    <row r="611">
      <c r="H611" s="30"/>
    </row>
    <row r="612">
      <c r="H612" s="30"/>
    </row>
    <row r="613">
      <c r="H613" s="30"/>
    </row>
    <row r="614">
      <c r="H614" s="30"/>
    </row>
    <row r="615">
      <c r="H615" s="30"/>
    </row>
    <row r="616">
      <c r="H616" s="30"/>
    </row>
    <row r="617">
      <c r="H617" s="30"/>
    </row>
    <row r="618">
      <c r="H618" s="30"/>
    </row>
    <row r="619">
      <c r="H619" s="30"/>
    </row>
    <row r="620">
      <c r="H620" s="30"/>
    </row>
    <row r="621">
      <c r="H621" s="30"/>
    </row>
    <row r="622">
      <c r="H622" s="30"/>
    </row>
    <row r="623">
      <c r="H623" s="30"/>
    </row>
    <row r="624">
      <c r="H624" s="30"/>
    </row>
    <row r="625">
      <c r="H625" s="30"/>
    </row>
    <row r="626">
      <c r="H626" s="30"/>
    </row>
    <row r="627">
      <c r="H627" s="30"/>
    </row>
    <row r="628">
      <c r="H628" s="30"/>
    </row>
    <row r="629">
      <c r="H629" s="30"/>
    </row>
    <row r="630">
      <c r="H630" s="30"/>
    </row>
    <row r="631">
      <c r="H631" s="30"/>
    </row>
    <row r="632">
      <c r="H632" s="30"/>
    </row>
    <row r="633">
      <c r="H633" s="30"/>
    </row>
    <row r="634">
      <c r="H634" s="30"/>
    </row>
    <row r="635">
      <c r="H635" s="30"/>
    </row>
    <row r="636">
      <c r="H636" s="30"/>
    </row>
    <row r="637">
      <c r="H637" s="30"/>
    </row>
    <row r="638">
      <c r="H638" s="30"/>
    </row>
    <row r="639">
      <c r="H639" s="30"/>
    </row>
    <row r="640">
      <c r="H640" s="30"/>
    </row>
    <row r="641">
      <c r="H641" s="30"/>
    </row>
    <row r="642">
      <c r="H642" s="30"/>
    </row>
    <row r="643">
      <c r="H643" s="30"/>
    </row>
    <row r="644">
      <c r="H644" s="30"/>
    </row>
    <row r="645">
      <c r="H645" s="30"/>
    </row>
    <row r="646">
      <c r="H646" s="30"/>
    </row>
    <row r="647">
      <c r="H647" s="30"/>
    </row>
    <row r="648">
      <c r="H648" s="30"/>
    </row>
    <row r="649">
      <c r="H649" s="30"/>
    </row>
    <row r="650">
      <c r="H650" s="30"/>
    </row>
    <row r="651">
      <c r="H651" s="30"/>
    </row>
    <row r="652">
      <c r="H652" s="30"/>
    </row>
    <row r="653">
      <c r="H653" s="30"/>
    </row>
    <row r="654">
      <c r="H654" s="30"/>
    </row>
    <row r="655">
      <c r="H655" s="30"/>
    </row>
    <row r="656">
      <c r="H656" s="30"/>
    </row>
    <row r="657">
      <c r="H657" s="30"/>
    </row>
    <row r="658">
      <c r="H658" s="30"/>
    </row>
    <row r="659">
      <c r="H659" s="30"/>
    </row>
    <row r="660">
      <c r="H660" s="30"/>
    </row>
    <row r="661">
      <c r="H661" s="30"/>
    </row>
    <row r="662">
      <c r="H662" s="30"/>
    </row>
    <row r="663">
      <c r="H663" s="30"/>
    </row>
    <row r="664">
      <c r="H664" s="30"/>
    </row>
    <row r="665">
      <c r="H665" s="30"/>
    </row>
    <row r="666">
      <c r="H666" s="30"/>
    </row>
    <row r="667">
      <c r="H667" s="30"/>
    </row>
    <row r="668">
      <c r="H668" s="30"/>
    </row>
    <row r="669">
      <c r="H669" s="30"/>
    </row>
    <row r="670">
      <c r="H670" s="30"/>
    </row>
    <row r="671">
      <c r="H671" s="30"/>
    </row>
    <row r="672">
      <c r="H672" s="30"/>
    </row>
    <row r="673">
      <c r="H673" s="30"/>
    </row>
    <row r="674">
      <c r="H674" s="30"/>
    </row>
    <row r="675">
      <c r="H675" s="30"/>
    </row>
    <row r="676">
      <c r="H676" s="30"/>
    </row>
    <row r="677">
      <c r="H677" s="30"/>
    </row>
    <row r="678">
      <c r="H678" s="30"/>
    </row>
    <row r="679">
      <c r="H679" s="30"/>
    </row>
    <row r="680">
      <c r="H680" s="30"/>
    </row>
    <row r="681">
      <c r="H681" s="30"/>
    </row>
    <row r="682">
      <c r="H682" s="30"/>
    </row>
    <row r="683">
      <c r="H683" s="30"/>
    </row>
    <row r="684">
      <c r="H684" s="30"/>
    </row>
    <row r="685">
      <c r="H685" s="30"/>
    </row>
    <row r="686">
      <c r="H686" s="30"/>
    </row>
    <row r="687">
      <c r="H687" s="30"/>
    </row>
    <row r="688">
      <c r="H688" s="30"/>
    </row>
    <row r="689">
      <c r="H689" s="30"/>
    </row>
    <row r="690">
      <c r="H690" s="30"/>
    </row>
    <row r="691">
      <c r="H691" s="30"/>
    </row>
    <row r="692">
      <c r="H692" s="30"/>
    </row>
    <row r="693">
      <c r="H693" s="30"/>
    </row>
    <row r="694">
      <c r="H694" s="30"/>
    </row>
    <row r="695">
      <c r="H695" s="30"/>
    </row>
    <row r="696">
      <c r="H696" s="30"/>
    </row>
    <row r="697">
      <c r="H697" s="30"/>
    </row>
    <row r="698">
      <c r="H698" s="30"/>
    </row>
    <row r="699">
      <c r="H699" s="30"/>
    </row>
    <row r="700">
      <c r="H700" s="30"/>
    </row>
    <row r="701">
      <c r="H701" s="30"/>
    </row>
    <row r="702">
      <c r="H702" s="30"/>
    </row>
    <row r="703">
      <c r="H703" s="30"/>
    </row>
    <row r="704">
      <c r="H704" s="30"/>
    </row>
    <row r="705">
      <c r="H705" s="30"/>
    </row>
    <row r="706">
      <c r="H706" s="30"/>
    </row>
    <row r="707">
      <c r="H707" s="30"/>
    </row>
    <row r="708">
      <c r="H708" s="30"/>
    </row>
    <row r="709">
      <c r="H709" s="30"/>
    </row>
    <row r="710">
      <c r="H710" s="30"/>
    </row>
    <row r="711">
      <c r="H711" s="30"/>
    </row>
    <row r="712">
      <c r="H712" s="30"/>
    </row>
    <row r="713">
      <c r="H713" s="30"/>
    </row>
    <row r="714">
      <c r="H714" s="30"/>
    </row>
    <row r="715">
      <c r="H715" s="30"/>
    </row>
    <row r="716">
      <c r="H716" s="30"/>
    </row>
    <row r="717">
      <c r="H717" s="30"/>
    </row>
    <row r="718">
      <c r="H718" s="30"/>
    </row>
    <row r="719">
      <c r="H719" s="30"/>
    </row>
    <row r="720">
      <c r="H720" s="30"/>
    </row>
    <row r="721">
      <c r="H721" s="30"/>
    </row>
    <row r="722">
      <c r="H722" s="30"/>
    </row>
    <row r="723">
      <c r="H723" s="30"/>
    </row>
    <row r="724">
      <c r="H724" s="30"/>
    </row>
    <row r="725">
      <c r="H725" s="30"/>
    </row>
    <row r="726">
      <c r="H726" s="30"/>
    </row>
    <row r="727">
      <c r="H727" s="30"/>
    </row>
    <row r="728">
      <c r="H728" s="30"/>
    </row>
    <row r="729">
      <c r="H729" s="30"/>
    </row>
    <row r="730">
      <c r="H730" s="30"/>
    </row>
    <row r="731">
      <c r="H731" s="30"/>
    </row>
    <row r="732">
      <c r="H732" s="30"/>
    </row>
    <row r="733">
      <c r="H733" s="30"/>
    </row>
    <row r="734">
      <c r="H734" s="30"/>
    </row>
    <row r="735">
      <c r="H735" s="30"/>
    </row>
    <row r="736">
      <c r="H736" s="30"/>
    </row>
    <row r="737">
      <c r="H737" s="30"/>
    </row>
    <row r="738">
      <c r="H738" s="30"/>
    </row>
    <row r="739">
      <c r="H739" s="30"/>
    </row>
    <row r="740">
      <c r="H740" s="30"/>
    </row>
    <row r="741">
      <c r="H741" s="30"/>
    </row>
    <row r="742">
      <c r="H742" s="30"/>
    </row>
    <row r="743">
      <c r="H743" s="30"/>
    </row>
    <row r="744">
      <c r="H744" s="30"/>
    </row>
    <row r="745">
      <c r="H745" s="30"/>
    </row>
    <row r="746">
      <c r="H746" s="30"/>
    </row>
    <row r="747">
      <c r="H747" s="30"/>
    </row>
    <row r="748">
      <c r="H748" s="30"/>
    </row>
    <row r="749">
      <c r="H749" s="30"/>
    </row>
    <row r="750">
      <c r="H750" s="30"/>
    </row>
    <row r="751">
      <c r="H751" s="30"/>
    </row>
    <row r="752">
      <c r="H752" s="30"/>
    </row>
    <row r="753">
      <c r="H753" s="30"/>
    </row>
    <row r="754">
      <c r="H754" s="30"/>
    </row>
    <row r="755">
      <c r="H755" s="30"/>
    </row>
    <row r="756">
      <c r="H756" s="30"/>
    </row>
    <row r="757">
      <c r="H757" s="30"/>
    </row>
    <row r="758">
      <c r="H758" s="30"/>
    </row>
    <row r="759">
      <c r="H759" s="30"/>
    </row>
    <row r="760">
      <c r="H760" s="30"/>
    </row>
    <row r="761">
      <c r="H761" s="30"/>
    </row>
    <row r="762">
      <c r="H762" s="30"/>
    </row>
    <row r="763">
      <c r="H763" s="30"/>
    </row>
    <row r="764">
      <c r="H764" s="30"/>
    </row>
    <row r="765">
      <c r="H765" s="30"/>
    </row>
    <row r="766">
      <c r="H766" s="30"/>
    </row>
    <row r="767">
      <c r="H767" s="30"/>
    </row>
    <row r="768">
      <c r="H768" s="30"/>
    </row>
    <row r="769">
      <c r="H769" s="30"/>
    </row>
    <row r="770">
      <c r="H770" s="30"/>
    </row>
    <row r="771">
      <c r="H771" s="30"/>
    </row>
    <row r="772">
      <c r="H772" s="30"/>
    </row>
    <row r="773">
      <c r="H773" s="30"/>
    </row>
    <row r="774">
      <c r="H774" s="30"/>
    </row>
    <row r="775">
      <c r="H775" s="30"/>
    </row>
    <row r="776">
      <c r="H776" s="30"/>
    </row>
    <row r="777">
      <c r="H777" s="30"/>
    </row>
    <row r="778">
      <c r="H778" s="30"/>
    </row>
    <row r="779">
      <c r="H779" s="30"/>
    </row>
    <row r="780">
      <c r="H780" s="30"/>
    </row>
    <row r="781">
      <c r="H781" s="30"/>
    </row>
    <row r="782">
      <c r="H782" s="30"/>
    </row>
    <row r="783">
      <c r="H783" s="30"/>
    </row>
    <row r="784">
      <c r="H784" s="30"/>
    </row>
    <row r="785">
      <c r="H785" s="30"/>
    </row>
    <row r="786">
      <c r="H786" s="30"/>
    </row>
    <row r="787">
      <c r="H787" s="30"/>
    </row>
    <row r="788">
      <c r="H788" s="30"/>
    </row>
    <row r="789">
      <c r="H789" s="30"/>
    </row>
    <row r="790">
      <c r="H790" s="30"/>
    </row>
    <row r="791">
      <c r="H791" s="30"/>
    </row>
    <row r="792">
      <c r="H792" s="30"/>
    </row>
    <row r="793">
      <c r="H793" s="30"/>
    </row>
    <row r="794">
      <c r="H794" s="30"/>
    </row>
    <row r="795">
      <c r="H795" s="30"/>
    </row>
    <row r="796">
      <c r="H796" s="30"/>
    </row>
    <row r="797">
      <c r="H797" s="30"/>
    </row>
    <row r="798">
      <c r="H798" s="30"/>
    </row>
    <row r="799">
      <c r="H799" s="30"/>
    </row>
    <row r="800">
      <c r="H800" s="30"/>
    </row>
    <row r="801">
      <c r="H801" s="30"/>
    </row>
    <row r="802">
      <c r="H802" s="30"/>
    </row>
    <row r="803">
      <c r="H803" s="30"/>
    </row>
    <row r="804">
      <c r="H804" s="30"/>
    </row>
    <row r="805">
      <c r="H805" s="30"/>
    </row>
    <row r="806">
      <c r="H806" s="30"/>
    </row>
    <row r="807">
      <c r="H807" s="30"/>
    </row>
    <row r="808">
      <c r="H808" s="30"/>
    </row>
    <row r="809">
      <c r="H809" s="30"/>
    </row>
    <row r="810">
      <c r="H810" s="30"/>
    </row>
    <row r="811">
      <c r="H811" s="30"/>
    </row>
    <row r="812">
      <c r="H812" s="30"/>
    </row>
    <row r="813">
      <c r="H813" s="30"/>
    </row>
    <row r="814">
      <c r="H814" s="30"/>
    </row>
    <row r="815">
      <c r="H815" s="30"/>
    </row>
    <row r="816">
      <c r="H816" s="30"/>
    </row>
    <row r="817">
      <c r="H817" s="30"/>
    </row>
    <row r="818">
      <c r="H818" s="30"/>
    </row>
    <row r="819">
      <c r="H819" s="30"/>
    </row>
    <row r="820">
      <c r="H820" s="30"/>
    </row>
    <row r="821">
      <c r="H821" s="30"/>
    </row>
    <row r="822">
      <c r="H822" s="30"/>
    </row>
    <row r="823">
      <c r="H823" s="30"/>
    </row>
    <row r="824">
      <c r="H824" s="30"/>
    </row>
    <row r="825">
      <c r="H825" s="30"/>
    </row>
    <row r="826">
      <c r="H826" s="30"/>
    </row>
    <row r="827">
      <c r="H827" s="30"/>
    </row>
    <row r="828">
      <c r="H828" s="30"/>
    </row>
    <row r="829">
      <c r="H829" s="30"/>
    </row>
    <row r="830">
      <c r="H830" s="30"/>
    </row>
    <row r="831">
      <c r="H831" s="30"/>
    </row>
    <row r="832">
      <c r="H832" s="30"/>
    </row>
    <row r="833">
      <c r="H833" s="30"/>
    </row>
    <row r="834">
      <c r="H834" s="30"/>
    </row>
    <row r="835">
      <c r="H835" s="30"/>
    </row>
    <row r="836">
      <c r="H836" s="30"/>
    </row>
    <row r="837">
      <c r="H837" s="30"/>
    </row>
    <row r="838">
      <c r="H838" s="30"/>
    </row>
    <row r="839">
      <c r="H839" s="30"/>
    </row>
    <row r="840">
      <c r="H840" s="30"/>
    </row>
    <row r="841">
      <c r="H841" s="30"/>
    </row>
    <row r="842">
      <c r="H842" s="30"/>
    </row>
    <row r="843">
      <c r="H843" s="30"/>
    </row>
    <row r="844">
      <c r="H844" s="30"/>
    </row>
    <row r="845">
      <c r="H845" s="30"/>
    </row>
    <row r="846">
      <c r="H846" s="30"/>
    </row>
    <row r="847">
      <c r="H847" s="30"/>
    </row>
    <row r="848">
      <c r="H848" s="30"/>
    </row>
    <row r="849">
      <c r="H849" s="30"/>
    </row>
    <row r="850">
      <c r="H850" s="30"/>
    </row>
    <row r="851">
      <c r="H851" s="30"/>
    </row>
    <row r="852">
      <c r="H852" s="30"/>
    </row>
    <row r="853">
      <c r="H853" s="30"/>
    </row>
    <row r="854">
      <c r="H854" s="30"/>
    </row>
    <row r="855">
      <c r="H855" s="30"/>
    </row>
    <row r="856">
      <c r="H856" s="30"/>
    </row>
    <row r="857">
      <c r="H857" s="30"/>
    </row>
    <row r="858">
      <c r="H858" s="30"/>
    </row>
    <row r="859">
      <c r="H859" s="30"/>
    </row>
    <row r="860">
      <c r="H860" s="30"/>
    </row>
    <row r="861">
      <c r="H861" s="30"/>
    </row>
    <row r="862">
      <c r="H862" s="30"/>
    </row>
    <row r="863">
      <c r="H863" s="30"/>
    </row>
    <row r="864">
      <c r="H864" s="30"/>
    </row>
    <row r="865">
      <c r="H865" s="30"/>
    </row>
    <row r="866">
      <c r="H866" s="30"/>
    </row>
    <row r="867">
      <c r="H867" s="30"/>
    </row>
    <row r="868">
      <c r="H868" s="30"/>
    </row>
    <row r="869">
      <c r="H869" s="30"/>
    </row>
    <row r="870">
      <c r="H870" s="30"/>
    </row>
    <row r="871">
      <c r="H871" s="30"/>
    </row>
    <row r="872">
      <c r="H872" s="30"/>
    </row>
    <row r="873">
      <c r="H873" s="30"/>
    </row>
    <row r="874">
      <c r="H874" s="30"/>
    </row>
    <row r="875">
      <c r="H875" s="30"/>
    </row>
    <row r="876">
      <c r="H876" s="30"/>
    </row>
    <row r="877">
      <c r="H877" s="30"/>
    </row>
    <row r="878">
      <c r="H878" s="30"/>
    </row>
    <row r="879">
      <c r="H879" s="30"/>
    </row>
    <row r="880">
      <c r="H880" s="30"/>
    </row>
    <row r="881">
      <c r="H881" s="30"/>
    </row>
    <row r="882">
      <c r="H882" s="30"/>
    </row>
    <row r="883">
      <c r="H883" s="30"/>
    </row>
    <row r="884">
      <c r="H884" s="30"/>
    </row>
    <row r="885">
      <c r="H885" s="30"/>
    </row>
    <row r="886">
      <c r="H886" s="30"/>
    </row>
    <row r="887">
      <c r="H887" s="30"/>
    </row>
    <row r="888">
      <c r="H888" s="30"/>
    </row>
    <row r="889">
      <c r="H889" s="30"/>
    </row>
    <row r="890">
      <c r="H890" s="30"/>
    </row>
    <row r="891">
      <c r="H891" s="30"/>
    </row>
    <row r="892">
      <c r="H892" s="30"/>
    </row>
    <row r="893">
      <c r="H893" s="30"/>
    </row>
    <row r="894">
      <c r="H894" s="30"/>
    </row>
    <row r="895">
      <c r="H895" s="30"/>
    </row>
    <row r="896">
      <c r="H896" s="30"/>
    </row>
    <row r="897">
      <c r="H897" s="30"/>
    </row>
    <row r="898">
      <c r="H898" s="30"/>
    </row>
    <row r="899">
      <c r="H899" s="30"/>
    </row>
    <row r="900">
      <c r="H900" s="30"/>
    </row>
    <row r="901">
      <c r="H901" s="30"/>
    </row>
    <row r="902">
      <c r="H902" s="30"/>
    </row>
    <row r="903">
      <c r="H903" s="30"/>
    </row>
    <row r="904">
      <c r="H904" s="30"/>
    </row>
    <row r="905">
      <c r="H905" s="30"/>
    </row>
    <row r="906">
      <c r="H906" s="30"/>
    </row>
    <row r="907">
      <c r="H907" s="30"/>
    </row>
    <row r="908">
      <c r="H908" s="30"/>
    </row>
    <row r="909">
      <c r="H909" s="30"/>
    </row>
    <row r="910">
      <c r="H910" s="30"/>
    </row>
    <row r="911">
      <c r="H911" s="30"/>
    </row>
    <row r="912">
      <c r="H912" s="30"/>
    </row>
    <row r="913">
      <c r="H913" s="30"/>
    </row>
    <row r="914">
      <c r="H914" s="30"/>
    </row>
    <row r="915">
      <c r="H915" s="30"/>
    </row>
    <row r="916">
      <c r="H916" s="30"/>
    </row>
    <row r="917">
      <c r="H917" s="30"/>
    </row>
    <row r="918">
      <c r="H918" s="30"/>
    </row>
    <row r="919">
      <c r="H919" s="30"/>
    </row>
    <row r="920">
      <c r="H920" s="30"/>
    </row>
    <row r="921">
      <c r="H921" s="30"/>
    </row>
    <row r="922">
      <c r="H922" s="30"/>
    </row>
    <row r="923">
      <c r="H923" s="30"/>
    </row>
    <row r="924">
      <c r="H924" s="30"/>
    </row>
    <row r="925">
      <c r="H925" s="30"/>
    </row>
    <row r="926">
      <c r="H926" s="30"/>
    </row>
    <row r="927">
      <c r="H927" s="30"/>
    </row>
    <row r="928">
      <c r="H928" s="30"/>
    </row>
    <row r="929">
      <c r="H929" s="30"/>
    </row>
    <row r="930">
      <c r="H930" s="30"/>
    </row>
    <row r="931">
      <c r="H931" s="30"/>
    </row>
    <row r="932">
      <c r="H932" s="30"/>
    </row>
    <row r="933">
      <c r="H933" s="30"/>
    </row>
    <row r="934">
      <c r="H934" s="30"/>
    </row>
    <row r="935">
      <c r="H935" s="30"/>
    </row>
    <row r="936">
      <c r="H936" s="30"/>
    </row>
    <row r="937">
      <c r="H937" s="30"/>
    </row>
    <row r="938">
      <c r="H938" s="30"/>
    </row>
    <row r="939">
      <c r="H939" s="30"/>
    </row>
    <row r="940">
      <c r="H940" s="30"/>
    </row>
    <row r="941">
      <c r="H941" s="30"/>
    </row>
    <row r="942">
      <c r="H942" s="30"/>
    </row>
    <row r="943">
      <c r="H943" s="30"/>
    </row>
    <row r="944">
      <c r="H944" s="30"/>
    </row>
    <row r="945">
      <c r="H945" s="30"/>
    </row>
    <row r="946">
      <c r="H946" s="30"/>
    </row>
    <row r="947">
      <c r="H947" s="30"/>
    </row>
    <row r="948">
      <c r="H948" s="30"/>
    </row>
    <row r="949">
      <c r="H949" s="30"/>
    </row>
    <row r="950">
      <c r="H950" s="30"/>
    </row>
    <row r="951">
      <c r="H951" s="30"/>
    </row>
    <row r="952">
      <c r="H952" s="30"/>
    </row>
    <row r="953">
      <c r="H953" s="30"/>
    </row>
    <row r="954">
      <c r="H954" s="30"/>
    </row>
    <row r="955">
      <c r="H955" s="30"/>
    </row>
    <row r="956">
      <c r="H956" s="30"/>
    </row>
    <row r="957">
      <c r="H957" s="30"/>
    </row>
    <row r="958">
      <c r="H958" s="30"/>
    </row>
    <row r="959">
      <c r="H959" s="30"/>
    </row>
    <row r="960">
      <c r="H960" s="30"/>
    </row>
    <row r="961">
      <c r="H961" s="30"/>
    </row>
    <row r="962">
      <c r="H962" s="30"/>
    </row>
    <row r="963">
      <c r="H963" s="30"/>
    </row>
    <row r="964">
      <c r="H964" s="30"/>
    </row>
    <row r="965">
      <c r="H965" s="30"/>
    </row>
    <row r="966">
      <c r="H966" s="30"/>
    </row>
    <row r="967">
      <c r="H967" s="30"/>
    </row>
    <row r="968">
      <c r="H968" s="30"/>
    </row>
    <row r="969">
      <c r="H969" s="30"/>
    </row>
    <row r="970">
      <c r="H970" s="30"/>
    </row>
    <row r="971">
      <c r="H971" s="30"/>
    </row>
    <row r="972">
      <c r="H972" s="30"/>
    </row>
    <row r="973">
      <c r="H973" s="30"/>
    </row>
    <row r="974">
      <c r="H974" s="30"/>
    </row>
    <row r="975">
      <c r="H975" s="30"/>
    </row>
    <row r="976">
      <c r="H976" s="30"/>
    </row>
    <row r="977">
      <c r="H977" s="30"/>
    </row>
    <row r="978">
      <c r="H978" s="30"/>
    </row>
    <row r="979">
      <c r="H979" s="30"/>
    </row>
    <row r="980">
      <c r="H980" s="30"/>
    </row>
    <row r="981">
      <c r="H981" s="30"/>
    </row>
    <row r="982">
      <c r="H982" s="30"/>
    </row>
    <row r="983">
      <c r="H983" s="30"/>
    </row>
    <row r="984">
      <c r="H984" s="30"/>
    </row>
    <row r="985">
      <c r="H985" s="30"/>
    </row>
    <row r="986">
      <c r="H986" s="30"/>
    </row>
    <row r="987">
      <c r="H987" s="30"/>
    </row>
    <row r="988">
      <c r="H988" s="30"/>
    </row>
    <row r="989">
      <c r="H989" s="30"/>
    </row>
    <row r="990">
      <c r="H990" s="30"/>
    </row>
    <row r="991">
      <c r="H991" s="30"/>
    </row>
    <row r="992">
      <c r="H992" s="30"/>
    </row>
    <row r="993">
      <c r="H993" s="30"/>
    </row>
    <row r="994">
      <c r="H994" s="30"/>
    </row>
    <row r="995">
      <c r="H995" s="30"/>
    </row>
    <row r="996">
      <c r="H996" s="30"/>
    </row>
    <row r="997">
      <c r="H997" s="30"/>
    </row>
    <row r="998">
      <c r="H998" s="30"/>
    </row>
    <row r="999">
      <c r="H999" s="30"/>
    </row>
  </sheetData>
  <dataValidations>
    <dataValidation type="list" allowBlank="1" showErrorMessage="1" sqref="I2:I6 I27:I31 I33:I68 I71:I131">
      <formula1>"Menorca,Mallorca,Ibiza,Madrid,Girona,Barcelona,Zaragoza,Anadalucía"</formula1>
    </dataValidation>
    <dataValidation type="list" allowBlank="1" showErrorMessage="1" sqref="I7:I26 I32">
      <formula1>"Menorca,Mallorca,Ibiza,Madrid,Girona,Barcelona"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9.86"/>
  </cols>
  <sheetData>
    <row r="1">
      <c r="A1" s="1" t="s">
        <v>184</v>
      </c>
      <c r="B1" s="1" t="s">
        <v>631</v>
      </c>
      <c r="C1" s="1" t="s">
        <v>632</v>
      </c>
      <c r="D1" s="1" t="s">
        <v>633</v>
      </c>
      <c r="E1" s="1" t="s">
        <v>634</v>
      </c>
    </row>
    <row r="2">
      <c r="A2" s="1" t="s">
        <v>598</v>
      </c>
      <c r="B2" s="1" t="s">
        <v>582</v>
      </c>
      <c r="C2" s="1" t="s">
        <v>635</v>
      </c>
      <c r="D2" s="1" t="s">
        <v>636</v>
      </c>
      <c r="E2" s="1" t="s">
        <v>637</v>
      </c>
    </row>
    <row r="3">
      <c r="A3" s="1" t="s">
        <v>611</v>
      </c>
      <c r="B3" s="1" t="s">
        <v>206</v>
      </c>
      <c r="C3" s="1" t="s">
        <v>638</v>
      </c>
      <c r="D3" s="1" t="s">
        <v>636</v>
      </c>
      <c r="E3" s="1" t="s">
        <v>637</v>
      </c>
    </row>
    <row r="4">
      <c r="A4" s="1" t="s">
        <v>612</v>
      </c>
      <c r="B4" s="1" t="s">
        <v>568</v>
      </c>
      <c r="C4" s="1" t="s">
        <v>639</v>
      </c>
      <c r="D4" s="1" t="s">
        <v>636</v>
      </c>
      <c r="E4" s="1" t="s">
        <v>640</v>
      </c>
    </row>
    <row r="5">
      <c r="A5" s="1" t="s">
        <v>618</v>
      </c>
      <c r="B5" s="1" t="s">
        <v>569</v>
      </c>
      <c r="C5" s="1" t="s">
        <v>641</v>
      </c>
      <c r="D5" s="1" t="s">
        <v>640</v>
      </c>
      <c r="E5" s="1" t="s">
        <v>642</v>
      </c>
    </row>
    <row r="6">
      <c r="A6" s="1" t="s">
        <v>643</v>
      </c>
      <c r="B6" s="1" t="s">
        <v>205</v>
      </c>
      <c r="C6" s="1" t="s">
        <v>644</v>
      </c>
      <c r="D6" s="1" t="s">
        <v>640</v>
      </c>
      <c r="E6" s="1" t="s">
        <v>640</v>
      </c>
    </row>
    <row r="7">
      <c r="A7" s="1" t="s">
        <v>645</v>
      </c>
      <c r="B7" s="1" t="s">
        <v>646</v>
      </c>
      <c r="C7" s="1" t="s">
        <v>647</v>
      </c>
      <c r="D7" s="1" t="s">
        <v>648</v>
      </c>
      <c r="E7" s="1" t="s">
        <v>640</v>
      </c>
    </row>
    <row r="8">
      <c r="A8" s="1" t="s">
        <v>649</v>
      </c>
      <c r="B8" s="1" t="s">
        <v>650</v>
      </c>
      <c r="C8" s="1" t="s">
        <v>651</v>
      </c>
      <c r="D8" s="1" t="s">
        <v>652</v>
      </c>
      <c r="E8" s="1" t="s">
        <v>653</v>
      </c>
    </row>
  </sheetData>
  <drawing r:id="rId1"/>
</worksheet>
</file>