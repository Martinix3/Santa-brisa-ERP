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Santa Brisa Europe SL" sheetId="1" r:id="rId4"/>
    <sheet state="visible" name="Pivot Table 1" sheetId="2" r:id="rId5"/>
    <sheet state="visible" name="Consigna POR FACTURAR" sheetId="3" r:id="rId6"/>
    <sheet state="visible" name="Copy of ES Sales Plan (by Distr" sheetId="4" r:id="rId7"/>
    <sheet state="visible" name="Cierres Mensual" sheetId="5" r:id="rId8"/>
    <sheet state="visible" name="Cierres Semanales" sheetId="6" r:id="rId9"/>
    <sheet state="visible" name="Cuesta" sheetId="7" r:id="rId10"/>
    <sheet state="visible" name="ES Sales Plan (by Distributor)" sheetId="8" r:id="rId11"/>
  </sheets>
  <definedNames>
    <definedName hidden="1" localSheetId="0" name="_xlnm._FilterDatabase">'Sales Santa Brisa Europe SL'!$A$1:$Q$70</definedName>
    <definedName hidden="1" localSheetId="2" name="_xlnm._FilterDatabase">'Consigna POR FACTURAR'!$A$1:$S$53</definedName>
    <definedName hidden="1" localSheetId="6" name="_xlnm._FilterDatabase">Cuesta!$A$1:$R$16</definedName>
  </definedNames>
  <calcPr/>
  <pivotCaches>
    <pivotCache cacheId="0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@mj@santabrisa.com @no@santabrisa.co tenemos que rellenar esta columna para ver qué producto tenemos que retirar y reponer
_Assigned to Nicolas Oehling_
	-Miguel Oehling
eso no es con lo facturado, sino con lo enviado. yo he facturado ahora las cajas de cuesta del lote1. (las del 2 han sido repuestas por otras del 7 pero no se han facturado)
	-Martin Jaime</t>
      </text>
    </comment>
    <comment authorId="0" ref="G50">
      <text>
        <t xml:space="preserve">@mj@santabrisa.com sabes si Quirites Inmobiliaria es venta privada o distribuidor?
_Assigned to you_
	-Miguel Oehling
Vienta privada, lo cambié ayer. es el padre de Alfonso.
	-Martin Jaime</t>
      </text>
    </comment>
    <comment authorId="0" ref="F66">
      <text>
        <t xml:space="preserve">@mj@santabrisa.com podrías comprobar que todas las ventas de INGO Están bien en cuanto a EUR y numero de botellas? Y también que se haya facturado todo. Gracias!
_Assigned to you_
	-Miguel Oehling</t>
      </text>
    </comment>
    <comment authorId="0" ref="F52">
      <text>
        <t xml:space="preserve">??
	-Miguel Oehling</t>
      </text>
    </comment>
  </commentList>
</comments>
</file>

<file path=xl/sharedStrings.xml><?xml version="1.0" encoding="utf-8"?>
<sst xmlns="http://schemas.openxmlformats.org/spreadsheetml/2006/main" count="799" uniqueCount="215">
  <si>
    <t>DATE</t>
  </si>
  <si>
    <t>MONTH</t>
  </si>
  <si>
    <t>WEEK</t>
  </si>
  <si>
    <t>YEAR</t>
  </si>
  <si>
    <t>ORDER NR</t>
  </si>
  <si>
    <t>CUSTOMER NAME</t>
  </si>
  <si>
    <t>CATEGORY</t>
  </si>
  <si>
    <t>LOTE</t>
  </si>
  <si>
    <t>SELLER (Martin, Nico, etc)</t>
  </si>
  <si>
    <t>750 CASES</t>
  </si>
  <si>
    <t>750 BOTTLE</t>
  </si>
  <si>
    <t>PRICE</t>
  </si>
  <si>
    <t>PAID</t>
  </si>
  <si>
    <t>INVOICED</t>
  </si>
  <si>
    <t>NEW CLIENT</t>
  </si>
  <si>
    <t>COUNTRY</t>
  </si>
  <si>
    <t>AREA</t>
  </si>
  <si>
    <t>F25005</t>
  </si>
  <si>
    <t>Real Club de Golf de Sotongrande</t>
  </si>
  <si>
    <t>Directa a Punto de Venta</t>
  </si>
  <si>
    <t>Alfonso</t>
  </si>
  <si>
    <t>Facturado</t>
  </si>
  <si>
    <t>ESP</t>
  </si>
  <si>
    <t>Escola</t>
  </si>
  <si>
    <t>Distribuidor</t>
  </si>
  <si>
    <t xml:space="preserve"> </t>
  </si>
  <si>
    <t>Patxi</t>
  </si>
  <si>
    <t>barcelona</t>
  </si>
  <si>
    <t>Islacatavinos</t>
  </si>
  <si>
    <t>Martin</t>
  </si>
  <si>
    <t>mallorca</t>
  </si>
  <si>
    <t>Bodegas Jaime</t>
  </si>
  <si>
    <t>zaragoza</t>
  </si>
  <si>
    <t>Importaciones Cuesta</t>
  </si>
  <si>
    <t>1442,32</t>
  </si>
  <si>
    <t>Madrid</t>
  </si>
  <si>
    <t>13/09/25</t>
  </si>
  <si>
    <t>F25009</t>
  </si>
  <si>
    <t>F25008</t>
  </si>
  <si>
    <t>Devnis Menorca</t>
  </si>
  <si>
    <t>Miguel</t>
  </si>
  <si>
    <t>F25007</t>
  </si>
  <si>
    <t>Devins Menorca</t>
  </si>
  <si>
    <t>F25006</t>
  </si>
  <si>
    <t>Servilline Foods</t>
  </si>
  <si>
    <t>Zaragoza</t>
  </si>
  <si>
    <t>#1054</t>
  </si>
  <si>
    <t>Venta Online</t>
  </si>
  <si>
    <t>Nico</t>
  </si>
  <si>
    <t>N/A</t>
  </si>
  <si>
    <t>26  septiembre 25</t>
  </si>
  <si>
    <t>#1053</t>
  </si>
  <si>
    <t>#1052</t>
  </si>
  <si>
    <t>#1051</t>
  </si>
  <si>
    <t>#1050</t>
  </si>
  <si>
    <t>#1049</t>
  </si>
  <si>
    <t>Quirites</t>
  </si>
  <si>
    <t>Venta Privada</t>
  </si>
  <si>
    <t>Miguel garcía</t>
  </si>
  <si>
    <t>Alejandra de la oliva</t>
  </si>
  <si>
    <t>Quirites Inmobiliaria</t>
  </si>
  <si>
    <t>2 envíos en consgina</t>
  </si>
  <si>
    <t>F250010</t>
  </si>
  <si>
    <t>Ingo Gestión de activos</t>
  </si>
  <si>
    <t>AÑADIR LAS MUESTRAS</t>
  </si>
  <si>
    <t>#1048</t>
  </si>
  <si>
    <t>#1047</t>
  </si>
  <si>
    <t>#1046</t>
  </si>
  <si>
    <t>#1045</t>
  </si>
  <si>
    <t>#1043</t>
  </si>
  <si>
    <t>#1042</t>
  </si>
  <si>
    <t>#1041</t>
  </si>
  <si>
    <t>#1040</t>
  </si>
  <si>
    <t>#1038</t>
  </si>
  <si>
    <t>#1036</t>
  </si>
  <si>
    <t>#1035</t>
  </si>
  <si>
    <t>#1032</t>
  </si>
  <si>
    <t>Facturado a RTDM Corp (por error)</t>
  </si>
  <si>
    <t>#1031</t>
  </si>
  <si>
    <t>#1029</t>
  </si>
  <si>
    <t>#1028</t>
  </si>
  <si>
    <t>#1027</t>
  </si>
  <si>
    <t>#1026</t>
  </si>
  <si>
    <t>#1025</t>
  </si>
  <si>
    <t>#1024</t>
  </si>
  <si>
    <t>#1023</t>
  </si>
  <si>
    <t>#1022</t>
  </si>
  <si>
    <t>#1021</t>
  </si>
  <si>
    <t>#1020</t>
  </si>
  <si>
    <t>#1019</t>
  </si>
  <si>
    <t>#1018</t>
  </si>
  <si>
    <t>#1017</t>
  </si>
  <si>
    <t>#1014</t>
  </si>
  <si>
    <t>#1015</t>
  </si>
  <si>
    <t>#1016</t>
  </si>
  <si>
    <t>#1013</t>
  </si>
  <si>
    <t>#1012</t>
  </si>
  <si>
    <t>#1011</t>
  </si>
  <si>
    <t>#1010</t>
  </si>
  <si>
    <t>#1008</t>
  </si>
  <si>
    <t>#1009</t>
  </si>
  <si>
    <t>#1007</t>
  </si>
  <si>
    <t>Ingo</t>
  </si>
  <si>
    <t>#1005</t>
  </si>
  <si>
    <t>#1003</t>
  </si>
  <si>
    <t>TOTAL</t>
  </si>
  <si>
    <t>COUNTA of €4,064.45</t>
  </si>
  <si>
    <t>Grand Total</t>
  </si>
  <si>
    <t>CHANNEL</t>
  </si>
  <si>
    <t>29-9-25</t>
  </si>
  <si>
    <t>De Vins</t>
  </si>
  <si>
    <t>Consigna</t>
  </si>
  <si>
    <t>Isla Catavinos</t>
  </si>
  <si>
    <t>Mallorca/ Ibiza</t>
  </si>
  <si>
    <t>Distribuiciones Alvarez</t>
  </si>
  <si>
    <t>ACTUALIZAR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</si>
  <si>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</si>
  <si>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</si>
  <si>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</si>
  <si>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</si>
  <si>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</si>
  <si>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</si>
  <si>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</si>
  <si>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</si>
  <si>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2025</t>
  </si>
  <si>
    <t>Total</t>
  </si>
  <si>
    <t>Metric</t>
  </si>
  <si>
    <t>Actual</t>
  </si>
  <si>
    <t>Plan</t>
  </si>
  <si>
    <t>Plan 2025</t>
  </si>
  <si>
    <t>Sales in USD</t>
  </si>
  <si>
    <t>Direct Sales</t>
  </si>
  <si>
    <t>EUR</t>
  </si>
  <si>
    <t>Cuesta</t>
  </si>
  <si>
    <t>Sales in # Cases</t>
  </si>
  <si>
    <t>#</t>
  </si>
  <si>
    <t>Álvarez</t>
  </si>
  <si>
    <t>Cajas 6x (750ml)</t>
  </si>
  <si>
    <t>Botellas (750ml)</t>
  </si>
  <si>
    <t>Escolá</t>
  </si>
  <si>
    <t>Goya</t>
  </si>
  <si>
    <t>Distrubuidor Gerona</t>
  </si>
  <si>
    <t># Cajas</t>
  </si>
  <si>
    <t># Botellas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</si>
  <si>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</si>
  <si>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</si>
  <si>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</si>
  <si>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</si>
  <si>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</si>
  <si>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</si>
  <si>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</si>
  <si>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</si>
  <si>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YTD</t>
  </si>
  <si>
    <t>Ventas en EUR</t>
  </si>
  <si>
    <t>Ventas en Botellas</t>
  </si>
  <si>
    <t>Ventas en Cajas</t>
  </si>
  <si>
    <t>Ventas EUR</t>
  </si>
  <si>
    <t>Ventas # Botellas</t>
  </si>
  <si>
    <t>100 CASES</t>
  </si>
  <si>
    <t>Supermercado Melo</t>
  </si>
  <si>
    <t>Cerveceria Santa Barbara</t>
  </si>
  <si>
    <t>Catering The Cook</t>
  </si>
  <si>
    <t>Bulo</t>
  </si>
  <si>
    <t>Joselito Las Rozas</t>
  </si>
  <si>
    <t>Adrede Restaurante</t>
  </si>
  <si>
    <t>Grupo 2.0</t>
  </si>
  <si>
    <t>Gabys Bagels</t>
  </si>
  <si>
    <t>Delirium Catering</t>
  </si>
  <si>
    <t>Terraza Campo del Moro</t>
  </si>
  <si>
    <t>Abaceria Macarena</t>
  </si>
  <si>
    <t>DISTRIBUCIONS ARAL, S.L.</t>
  </si>
  <si>
    <t>1.428,00</t>
  </si>
  <si>
    <t>21,00</t>
  </si>
  <si>
    <t>299,88</t>
  </si>
  <si>
    <t>1.727,88</t>
  </si>
  <si>
    <t>A 196050</t>
  </si>
  <si>
    <t>MACAVELA 136. S.L.</t>
  </si>
  <si>
    <t>252,00</t>
  </si>
  <si>
    <t>52,92</t>
  </si>
  <si>
    <t>A 196116</t>
  </si>
  <si>
    <t>UCALSA, S.A UNION CASTELLANA DE ALIMENTACIÓN</t>
  </si>
  <si>
    <t>336,00</t>
  </si>
  <si>
    <t>70,56</t>
  </si>
  <si>
    <t>A 196119</t>
  </si>
  <si>
    <t>CATERING THE COOK, S.L.U</t>
  </si>
  <si>
    <t>A 197056</t>
  </si>
  <si>
    <t>SANTA BARBARA DE CERVECERIA 2006, S.L.</t>
  </si>
  <si>
    <t>120,00</t>
  </si>
  <si>
    <t>25,20</t>
  </si>
  <si>
    <t>A 196121</t>
  </si>
  <si>
    <t>DELIRIUM BY LUCIA, S.L.</t>
  </si>
  <si>
    <t>168,00</t>
  </si>
  <si>
    <t>35,28</t>
  </si>
  <si>
    <t>A 196122</t>
  </si>
  <si>
    <t>84,00</t>
  </si>
  <si>
    <t>17,64</t>
  </si>
  <si>
    <t>A 196123</t>
  </si>
  <si>
    <t>BLISS BAGELS, S.L.</t>
  </si>
  <si>
    <t>PAGADA</t>
  </si>
  <si>
    <t>A 196124</t>
  </si>
  <si>
    <t>LAS TABLAS PUNTO CERO</t>
  </si>
  <si>
    <t>A 196128</t>
  </si>
  <si>
    <t>A 197055</t>
  </si>
  <si>
    <t>50,00</t>
  </si>
  <si>
    <t>10,50</t>
  </si>
  <si>
    <t>A 196130</t>
  </si>
  <si>
    <t>SUPERMERCADO MELO, S.L.</t>
  </si>
  <si>
    <t>A 198589</t>
  </si>
  <si>
    <t>VOLVER AL ORIGEN - TABERNA PEDRAZA</t>
  </si>
  <si>
    <t>Cuesta sin facturar</t>
  </si>
  <si>
    <t>Cuesta facturado</t>
  </si>
  <si>
    <t># Cases (6x)</t>
  </si>
  <si>
    <t>750ml</t>
  </si>
  <si>
    <t>100ml</t>
  </si>
  <si>
    <t>#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</si>
</sst>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&quot; &quot;mmmm&quot; &quot;yy"/>
    <numFmt numFmtId="165" formatCode="&quot;€&quot;#,##0.00"/>
    <numFmt numFmtId="166" formatCode="[$€]#,##0.00"/>
    <numFmt numFmtId="167" formatCode="0.0"/>
    <numFmt numFmtId="168" formatCode="mm/dd/yy"/>
    <numFmt numFmtId="169" formatCode="&quot;$&quot;#,##0"/>
    <numFmt numFmtId="170" formatCode="[$€]#,##0"/>
    <numFmt numFmtId="171" formatCode="&quot;$&quot;#,##0.0"/>
    <numFmt numFmtId="172" formatCode="mm/dd/yyyy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9.0"/>
      <color rgb="FF000000"/>
      <name val="Roboto"/>
    </font>
    <font>
      <b/>
      <color theme="1"/>
      <name val="Arial"/>
      <scheme val="minor"/>
    </font>
    <font>
      <i/>
      <sz val="11.0"/>
      <color theme="1"/>
      <name val="Calibri"/>
    </font>
    <font>
      <b/>
      <i/>
      <sz val="11.0"/>
      <color theme="1"/>
      <name val="Calibri"/>
    </font>
    <font>
      <color rgb="FFFFFFFF"/>
      <name val="Arial"/>
      <scheme val="minor"/>
    </font>
    <font>
      <sz val="11.0"/>
      <color rgb="FF000000"/>
      <name val="Calibri"/>
    </font>
    <font>
      <color rgb="FF222222"/>
      <name val="Arial"/>
    </font>
    <font>
      <sz val="9.0"/>
      <color rgb="FF1F2937"/>
      <name val="Roboto"/>
    </font>
    <font>
      <sz val="14.0"/>
      <color rgb="FF1F2937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AFAFA"/>
        <bgColor rgb="FFFAFAFA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theme="7"/>
        <bgColor theme="7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BE2D5"/>
        <bgColor rgb="FFFBE2D5"/>
      </patternFill>
    </fill>
    <fill>
      <patternFill patternType="solid">
        <fgColor rgb="FFFFFFFF"/>
        <bgColor rgb="FFFFFFFF"/>
      </patternFill>
    </fill>
  </fills>
  <borders count="25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dotted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B7B7B7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7B7B7"/>
      </left>
    </border>
    <border>
      <right style="thin">
        <color rgb="FF000000"/>
      </right>
    </border>
    <border>
      <left style="thin">
        <color rgb="FF000000"/>
      </left>
      <bottom style="dotted">
        <color rgb="FF999999"/>
      </bottom>
    </border>
    <border>
      <left style="thin">
        <color rgb="FFB7B7B7"/>
      </left>
      <bottom style="dotted">
        <color rgb="FF999999"/>
      </bottom>
    </border>
    <border>
      <bottom style="dotted">
        <color rgb="FF999999"/>
      </bottom>
    </border>
    <border>
      <right style="thin">
        <color rgb="FF000000"/>
      </right>
      <bottom style="dotted">
        <color rgb="FF999999"/>
      </bottom>
    </border>
    <border>
      <left style="thin">
        <color rgb="FFB7B7B7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1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1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readingOrder="0" vertical="bottom"/>
    </xf>
    <xf borderId="0" fillId="3" fontId="5" numFmtId="0" xfId="0" applyAlignment="1" applyFill="1" applyFont="1">
      <alignment readingOrder="0"/>
    </xf>
    <xf borderId="0" fillId="0" fontId="3" numFmtId="167" xfId="0" applyAlignment="1" applyFont="1" applyNumberFormat="1">
      <alignment readingOrder="0"/>
    </xf>
    <xf borderId="0" fillId="3" fontId="5" numFmtId="168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2" fontId="4" numFmtId="0" xfId="0" applyAlignment="1" applyFont="1">
      <alignment horizontal="right" vertical="bottom"/>
    </xf>
    <xf borderId="0" fillId="4" fontId="2" numFmtId="0" xfId="0" applyAlignment="1" applyFill="1" applyFont="1">
      <alignment readingOrder="0" vertical="bottom"/>
    </xf>
    <xf borderId="0" fillId="4" fontId="1" numFmtId="0" xfId="0" applyAlignment="1" applyFont="1">
      <alignment readingOrder="0" vertical="bottom"/>
    </xf>
    <xf borderId="0" fillId="0" fontId="2" numFmtId="14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5" fontId="6" numFmtId="0" xfId="0" applyAlignment="1" applyFill="1" applyFont="1">
      <alignment readingOrder="0"/>
    </xf>
    <xf borderId="0" fillId="5" fontId="3" numFmtId="0" xfId="0" applyFont="1"/>
    <xf borderId="0" fillId="5" fontId="6" numFmtId="166" xfId="0" applyFont="1" applyNumberFormat="1"/>
    <xf borderId="0" fillId="0" fontId="3" numFmtId="0" xfId="0" applyFont="1"/>
    <xf borderId="0" fillId="0" fontId="3" numFmtId="165" xfId="0" applyFont="1" applyNumberFormat="1"/>
    <xf borderId="0" fillId="0" fontId="2" numFmtId="3" xfId="0" applyAlignment="1" applyFont="1" applyNumberForma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2" numFmtId="169" xfId="0" applyAlignment="1" applyFont="1" applyNumberFormat="1">
      <alignment horizontal="center" vertical="bottom"/>
    </xf>
    <xf borderId="0" fillId="6" fontId="2" numFmtId="0" xfId="0" applyAlignment="1" applyFill="1" applyFont="1">
      <alignment horizontal="right" readingOrder="0" vertical="bottom"/>
    </xf>
    <xf borderId="0" fillId="6" fontId="2" numFmtId="3" xfId="0" applyAlignment="1" applyFont="1" applyNumberFormat="1">
      <alignment horizontal="right" readingOrder="0" vertical="bottom"/>
    </xf>
    <xf borderId="0" fillId="6" fontId="2" numFmtId="0" xfId="0" applyAlignment="1" applyFont="1">
      <alignment horizontal="right" vertical="bottom"/>
    </xf>
    <xf borderId="0" fillId="6" fontId="2" numFmtId="0" xfId="0" applyAlignment="1" applyFont="1">
      <alignment horizontal="center" vertical="bottom"/>
    </xf>
    <xf borderId="0" fillId="6" fontId="2" numFmtId="0" xfId="0" applyAlignment="1" applyFont="1">
      <alignment readingOrder="0" vertical="bottom"/>
    </xf>
    <xf borderId="0" fillId="6" fontId="2" numFmtId="0" xfId="0" applyAlignment="1" applyFont="1">
      <alignment vertical="bottom"/>
    </xf>
    <xf borderId="0" fillId="6" fontId="3" numFmtId="0" xfId="0" applyAlignment="1" applyFont="1">
      <alignment readingOrder="0"/>
    </xf>
    <xf borderId="0" fillId="6" fontId="2" numFmtId="169" xfId="0" applyAlignment="1" applyFont="1" applyNumberFormat="1">
      <alignment horizontal="center" vertical="bottom"/>
    </xf>
    <xf borderId="0" fillId="6" fontId="2" numFmtId="166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169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3" numFmtId="1" xfId="0" applyFont="1" applyNumberFormat="1"/>
    <xf borderId="0" fillId="0" fontId="3" numFmtId="2" xfId="0" applyFont="1" applyNumberFormat="1"/>
    <xf borderId="0" fillId="7" fontId="1" numFmtId="0" xfId="0" applyAlignment="1" applyFill="1" applyFont="1">
      <alignment readingOrder="0" vertical="bottom"/>
    </xf>
    <xf borderId="0" fillId="7" fontId="2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7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5" fillId="8" fontId="1" numFmtId="0" xfId="0" applyAlignment="1" applyBorder="1" applyFill="1" applyFont="1">
      <alignment horizontal="center" readingOrder="0" vertical="bottom"/>
    </xf>
    <xf borderId="6" fillId="0" fontId="2" numFmtId="0" xfId="0" applyAlignment="1" applyBorder="1" applyFont="1">
      <alignment readingOrder="0" vertical="bottom"/>
    </xf>
    <xf borderId="4" fillId="9" fontId="1" numFmtId="0" xfId="0" applyAlignment="1" applyBorder="1" applyFill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7" fillId="8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8" fillId="10" fontId="1" numFmtId="0" xfId="0" applyAlignment="1" applyBorder="1" applyFill="1" applyFont="1">
      <alignment readingOrder="0" vertical="bottom"/>
    </xf>
    <xf borderId="0" fillId="0" fontId="7" numFmtId="0" xfId="0" applyAlignment="1" applyFont="1">
      <alignment readingOrder="0" vertical="bottom"/>
    </xf>
    <xf borderId="0" fillId="9" fontId="2" numFmtId="170" xfId="0" applyAlignment="1" applyFont="1" applyNumberFormat="1">
      <alignment readingOrder="0" vertical="bottom"/>
    </xf>
    <xf borderId="0" fillId="0" fontId="2" numFmtId="170" xfId="0" applyAlignment="1" applyFont="1" applyNumberFormat="1">
      <alignment readingOrder="0" vertical="bottom"/>
    </xf>
    <xf borderId="8" fillId="8" fontId="1" numFmtId="170" xfId="0" applyAlignment="1" applyBorder="1" applyFont="1" applyNumberFormat="1">
      <alignment vertical="bottom"/>
    </xf>
    <xf borderId="9" fillId="0" fontId="1" numFmtId="170" xfId="0" applyAlignment="1" applyBorder="1" applyFont="1" applyNumberFormat="1">
      <alignment vertical="bottom"/>
    </xf>
    <xf borderId="8" fillId="0" fontId="2" numFmtId="0" xfId="0" applyAlignment="1" applyBorder="1" applyFont="1">
      <alignment vertical="bottom"/>
    </xf>
    <xf borderId="0" fillId="9" fontId="2" numFmtId="170" xfId="0" applyAlignment="1" applyFont="1" applyNumberFormat="1">
      <alignment vertical="bottom"/>
    </xf>
    <xf borderId="8" fillId="0" fontId="7" numFmtId="0" xfId="0" applyAlignment="1" applyBorder="1" applyFont="1">
      <alignment readingOrder="0" vertical="bottom"/>
    </xf>
    <xf borderId="10" fillId="0" fontId="2" numFmtId="0" xfId="0" applyAlignment="1" applyBorder="1" applyFont="1">
      <alignment readingOrder="0" vertical="bottom"/>
    </xf>
    <xf borderId="10" fillId="0" fontId="7" numFmtId="0" xfId="0" applyAlignment="1" applyBorder="1" applyFont="1">
      <alignment readingOrder="0" vertical="bottom"/>
    </xf>
    <xf borderId="10" fillId="9" fontId="2" numFmtId="170" xfId="0" applyAlignment="1" applyBorder="1" applyFont="1" applyNumberFormat="1">
      <alignment vertical="bottom"/>
    </xf>
    <xf borderId="10" fillId="0" fontId="2" numFmtId="170" xfId="0" applyAlignment="1" applyBorder="1" applyFont="1" applyNumberFormat="1">
      <alignment readingOrder="0" vertical="bottom"/>
    </xf>
    <xf borderId="8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8" numFmtId="0" xfId="0" applyAlignment="1" applyBorder="1" applyFont="1">
      <alignment readingOrder="0" vertical="bottom"/>
    </xf>
    <xf borderId="2" fillId="9" fontId="1" numFmtId="170" xfId="0" applyAlignment="1" applyBorder="1" applyFont="1" applyNumberFormat="1">
      <alignment readingOrder="0" vertical="bottom"/>
    </xf>
    <xf borderId="2" fillId="0" fontId="1" numFmtId="170" xfId="0" applyAlignment="1" applyBorder="1" applyFont="1" applyNumberFormat="1">
      <alignment vertical="bottom"/>
    </xf>
    <xf borderId="2" fillId="9" fontId="1" numFmtId="170" xfId="0" applyAlignment="1" applyBorder="1" applyFont="1" applyNumberFormat="1">
      <alignment vertical="bottom"/>
    </xf>
    <xf borderId="11" fillId="8" fontId="1" numFmtId="170" xfId="0" applyAlignment="1" applyBorder="1" applyFont="1" applyNumberFormat="1">
      <alignment vertical="bottom"/>
    </xf>
    <xf borderId="5" fillId="0" fontId="1" numFmtId="170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170" xfId="0" applyAlignment="1" applyFont="1" applyNumberFormat="1">
      <alignment vertical="bottom"/>
    </xf>
    <xf borderId="10" fillId="9" fontId="2" numFmtId="3" xfId="0" applyAlignment="1" applyBorder="1" applyFont="1" applyNumberFormat="1">
      <alignment horizontal="right" readingOrder="0" vertical="bottom"/>
    </xf>
    <xf borderId="10" fillId="0" fontId="2" numFmtId="3" xfId="0" applyAlignment="1" applyBorder="1" applyFont="1" applyNumberFormat="1">
      <alignment readingOrder="0" vertical="bottom"/>
    </xf>
    <xf borderId="12" fillId="8" fontId="1" numFmtId="3" xfId="0" applyAlignment="1" applyBorder="1" applyFont="1" applyNumberFormat="1">
      <alignment vertical="bottom"/>
    </xf>
    <xf borderId="13" fillId="0" fontId="1" numFmtId="3" xfId="0" applyAlignment="1" applyBorder="1" applyFont="1" applyNumberFormat="1">
      <alignment vertical="bottom"/>
    </xf>
    <xf borderId="0" fillId="9" fontId="2" numFmtId="3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readingOrder="0" vertical="bottom"/>
    </xf>
    <xf borderId="8" fillId="8" fontId="1" numFmtId="3" xfId="0" applyAlignment="1" applyBorder="1" applyFont="1" applyNumberFormat="1">
      <alignment vertical="bottom"/>
    </xf>
    <xf borderId="9" fillId="0" fontId="1" numFmtId="3" xfId="0" applyAlignment="1" applyBorder="1" applyFont="1" applyNumberFormat="1">
      <alignment vertical="bottom"/>
    </xf>
    <xf borderId="8" fillId="0" fontId="4" numFmtId="0" xfId="0" applyAlignment="1" applyBorder="1" applyFont="1">
      <alignment vertical="bottom"/>
    </xf>
    <xf borderId="10" fillId="9" fontId="4" numFmtId="3" xfId="0" applyAlignment="1" applyBorder="1" applyFont="1" applyNumberFormat="1">
      <alignment vertical="bottom"/>
    </xf>
    <xf borderId="10" fillId="0" fontId="2" numFmtId="3" xfId="0" applyAlignment="1" applyBorder="1" applyFont="1" applyNumberFormat="1">
      <alignment horizontal="right" vertical="bottom"/>
    </xf>
    <xf borderId="10" fillId="0" fontId="2" numFmtId="3" xfId="0" applyAlignment="1" applyBorder="1" applyFont="1" applyNumberFormat="1">
      <alignment horizontal="right" readingOrder="0" vertical="bottom"/>
    </xf>
    <xf borderId="12" fillId="8" fontId="1" numFmtId="3" xfId="0" applyAlignment="1" applyBorder="1" applyFont="1" applyNumberFormat="1">
      <alignment horizontal="right" vertical="bottom"/>
    </xf>
    <xf borderId="13" fillId="0" fontId="1" numFmtId="3" xfId="0" applyAlignment="1" applyBorder="1" applyFont="1" applyNumberFormat="1">
      <alignment horizontal="right" vertical="bottom"/>
    </xf>
    <xf borderId="0" fillId="9" fontId="2" numFmtId="3" xfId="0" applyAlignment="1" applyFont="1" applyNumberFormat="1">
      <alignment readingOrder="0" vertical="bottom"/>
    </xf>
    <xf borderId="14" fillId="5" fontId="1" numFmtId="0" xfId="0" applyAlignment="1" applyBorder="1" applyFont="1">
      <alignment vertical="bottom"/>
    </xf>
    <xf borderId="4" fillId="5" fontId="1" numFmtId="0" xfId="0" applyAlignment="1" applyBorder="1" applyFont="1">
      <alignment vertical="bottom"/>
    </xf>
    <xf borderId="4" fillId="5" fontId="8" numFmtId="0" xfId="0" applyAlignment="1" applyBorder="1" applyFont="1">
      <alignment readingOrder="0" vertical="bottom"/>
    </xf>
    <xf borderId="4" fillId="5" fontId="1" numFmtId="3" xfId="0" applyAlignment="1" applyBorder="1" applyFont="1" applyNumberFormat="1">
      <alignment vertical="bottom"/>
    </xf>
    <xf borderId="14" fillId="5" fontId="1" numFmtId="3" xfId="0" applyAlignment="1" applyBorder="1" applyFont="1" applyNumberFormat="1">
      <alignment horizontal="right" vertical="bottom"/>
    </xf>
    <xf borderId="7" fillId="5" fontId="1" numFmtId="3" xfId="0" applyAlignment="1" applyBorder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" numFmtId="171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right"/>
    </xf>
    <xf borderId="11" fillId="9" fontId="3" numFmtId="0" xfId="0" applyAlignment="1" applyBorder="1" applyFont="1">
      <alignment horizontal="right"/>
    </xf>
    <xf borderId="15" fillId="9" fontId="6" numFmtId="0" xfId="0" applyAlignment="1" applyBorder="1" applyFont="1">
      <alignment horizontal="right" readingOrder="0"/>
    </xf>
    <xf borderId="2" fillId="9" fontId="6" numFmtId="0" xfId="0" applyAlignment="1" applyBorder="1" applyFont="1">
      <alignment horizontal="right" readingOrder="0"/>
    </xf>
    <xf borderId="2" fillId="9" fontId="3" numFmtId="0" xfId="0" applyBorder="1" applyFont="1"/>
    <xf borderId="16" fillId="9" fontId="6" numFmtId="0" xfId="0" applyAlignment="1" applyBorder="1" applyFont="1">
      <alignment horizontal="center" readingOrder="0"/>
    </xf>
    <xf borderId="8" fillId="9" fontId="6" numFmtId="0" xfId="0" applyAlignment="1" applyBorder="1" applyFont="1">
      <alignment readingOrder="0"/>
    </xf>
    <xf borderId="17" fillId="0" fontId="3" numFmtId="170" xfId="0" applyBorder="1" applyFont="1" applyNumberFormat="1"/>
    <xf borderId="0" fillId="0" fontId="3" numFmtId="170" xfId="0" applyFont="1" applyNumberFormat="1"/>
    <xf borderId="18" fillId="0" fontId="6" numFmtId="170" xfId="0" applyAlignment="1" applyBorder="1" applyFont="1" applyNumberFormat="1">
      <alignment horizontal="center"/>
    </xf>
    <xf borderId="17" fillId="0" fontId="3" numFmtId="3" xfId="0" applyBorder="1" applyFont="1" applyNumberFormat="1"/>
    <xf borderId="0" fillId="0" fontId="3" numFmtId="3" xfId="0" applyFont="1" applyNumberFormat="1"/>
    <xf borderId="18" fillId="0" fontId="6" numFmtId="3" xfId="0" applyAlignment="1" applyBorder="1" applyFont="1" applyNumberFormat="1">
      <alignment horizontal="center"/>
    </xf>
    <xf borderId="8" fillId="9" fontId="6" numFmtId="0" xfId="0" applyBorder="1" applyFont="1"/>
    <xf borderId="18" fillId="0" fontId="3" numFmtId="3" xfId="0" applyAlignment="1" applyBorder="1" applyFont="1" applyNumberFormat="1">
      <alignment horizontal="center"/>
    </xf>
    <xf borderId="8" fillId="9" fontId="6" numFmtId="2" xfId="0" applyAlignment="1" applyBorder="1" applyFont="1" applyNumberFormat="1">
      <alignment readingOrder="0"/>
    </xf>
    <xf borderId="19" fillId="9" fontId="6" numFmtId="0" xfId="0" applyBorder="1" applyFont="1"/>
    <xf borderId="20" fillId="0" fontId="3" numFmtId="170" xfId="0" applyAlignment="1" applyBorder="1" applyFont="1" applyNumberFormat="1">
      <alignment readingOrder="0"/>
    </xf>
    <xf borderId="21" fillId="0" fontId="3" numFmtId="170" xfId="0" applyAlignment="1" applyBorder="1" applyFont="1" applyNumberFormat="1">
      <alignment readingOrder="0"/>
    </xf>
    <xf borderId="21" fillId="0" fontId="3" numFmtId="170" xfId="0" applyBorder="1" applyFont="1" applyNumberFormat="1"/>
    <xf borderId="22" fillId="0" fontId="3" numFmtId="170" xfId="0" applyAlignment="1" applyBorder="1" applyFont="1" applyNumberFormat="1">
      <alignment horizontal="center"/>
    </xf>
    <xf borderId="8" fillId="0" fontId="6" numFmtId="0" xfId="0" applyBorder="1" applyFont="1"/>
    <xf borderId="17" fillId="0" fontId="9" numFmtId="170" xfId="0" applyAlignment="1" applyBorder="1" applyFont="1" applyNumberFormat="1">
      <alignment readingOrder="0"/>
    </xf>
    <xf borderId="0" fillId="0" fontId="9" numFmtId="170" xfId="0" applyAlignment="1" applyFont="1" applyNumberFormat="1">
      <alignment readingOrder="0"/>
    </xf>
    <xf borderId="0" fillId="0" fontId="9" numFmtId="170" xfId="0" applyFont="1" applyNumberFormat="1"/>
    <xf borderId="18" fillId="0" fontId="9" numFmtId="170" xfId="0" applyAlignment="1" applyBorder="1" applyFont="1" applyNumberFormat="1">
      <alignment horizontal="center"/>
    </xf>
    <xf borderId="8" fillId="2" fontId="6" numFmtId="0" xfId="0" applyAlignment="1" applyBorder="1" applyFont="1">
      <alignment horizontal="right" readingOrder="0"/>
    </xf>
    <xf borderId="17" fillId="2" fontId="3" numFmtId="170" xfId="0" applyBorder="1" applyFont="1" applyNumberFormat="1"/>
    <xf borderId="0" fillId="2" fontId="3" numFmtId="170" xfId="0" applyFont="1" applyNumberFormat="1"/>
    <xf borderId="18" fillId="2" fontId="6" numFmtId="170" xfId="0" applyAlignment="1" applyBorder="1" applyFont="1" applyNumberFormat="1">
      <alignment horizontal="center"/>
    </xf>
    <xf borderId="8" fillId="11" fontId="6" numFmtId="0" xfId="0" applyAlignment="1" applyBorder="1" applyFill="1" applyFont="1">
      <alignment horizontal="right" readingOrder="0"/>
    </xf>
    <xf borderId="17" fillId="11" fontId="3" numFmtId="170" xfId="0" applyBorder="1" applyFont="1" applyNumberFormat="1"/>
    <xf borderId="0" fillId="11" fontId="3" numFmtId="170" xfId="0" applyFont="1" applyNumberFormat="1"/>
    <xf borderId="18" fillId="11" fontId="6" numFmtId="170" xfId="0" applyAlignment="1" applyBorder="1" applyFont="1" applyNumberFormat="1">
      <alignment horizontal="center"/>
    </xf>
    <xf borderId="8" fillId="12" fontId="6" numFmtId="0" xfId="0" applyAlignment="1" applyBorder="1" applyFill="1" applyFont="1">
      <alignment horizontal="right" readingOrder="0"/>
    </xf>
    <xf borderId="17" fillId="12" fontId="3" numFmtId="170" xfId="0" applyBorder="1" applyFont="1" applyNumberFormat="1"/>
    <xf borderId="0" fillId="12" fontId="3" numFmtId="170" xfId="0" applyFont="1" applyNumberFormat="1"/>
    <xf borderId="18" fillId="12" fontId="6" numFmtId="170" xfId="0" applyAlignment="1" applyBorder="1" applyFont="1" applyNumberFormat="1">
      <alignment horizontal="center"/>
    </xf>
    <xf borderId="14" fillId="13" fontId="6" numFmtId="0" xfId="0" applyAlignment="1" applyBorder="1" applyFill="1" applyFont="1">
      <alignment horizontal="right" readingOrder="0"/>
    </xf>
    <xf borderId="23" fillId="13" fontId="3" numFmtId="170" xfId="0" applyBorder="1" applyFont="1" applyNumberFormat="1"/>
    <xf borderId="4" fillId="13" fontId="3" numFmtId="170" xfId="0" applyBorder="1" applyFont="1" applyNumberFormat="1"/>
    <xf borderId="24" fillId="13" fontId="6" numFmtId="170" xfId="0" applyAlignment="1" applyBorder="1" applyFont="1" applyNumberFormat="1">
      <alignment horizontal="center"/>
    </xf>
    <xf borderId="0" fillId="0" fontId="3" numFmtId="166" xfId="0" applyFont="1" applyNumberFormat="1"/>
    <xf borderId="0" fillId="14" fontId="10" numFmtId="172" xfId="0" applyAlignment="1" applyFill="1" applyFont="1" applyNumberFormat="1">
      <alignment horizontal="center" readingOrder="0"/>
    </xf>
    <xf borderId="0" fillId="14" fontId="10" numFmtId="0" xfId="0" applyAlignment="1" applyFont="1">
      <alignment horizontal="right" readingOrder="0" vertical="bottom"/>
    </xf>
    <xf borderId="0" fillId="14" fontId="10" numFmtId="0" xfId="0" applyAlignment="1" applyFont="1">
      <alignment readingOrder="0" vertical="bottom"/>
    </xf>
    <xf borderId="0" fillId="14" fontId="11" numFmtId="0" xfId="0" applyAlignment="1" applyFont="1">
      <alignment readingOrder="0" vertical="bottom"/>
    </xf>
    <xf borderId="0" fillId="14" fontId="11" numFmtId="0" xfId="0" applyAlignment="1" applyFont="1">
      <alignment vertical="bottom"/>
    </xf>
    <xf borderId="0" fillId="3" fontId="12" numFmtId="0" xfId="0" applyAlignment="1" applyFont="1">
      <alignment horizontal="right" readingOrder="0"/>
    </xf>
    <xf borderId="0" fillId="15" fontId="13" numFmtId="0" xfId="0" applyAlignment="1" applyFill="1" applyFont="1">
      <alignment horizontal="right" readingOrder="0"/>
    </xf>
    <xf borderId="0" fillId="0" fontId="7" numFmtId="0" xfId="0" applyAlignment="1" applyFont="1">
      <alignment vertical="bottom"/>
    </xf>
    <xf borderId="10" fillId="0" fontId="7" numFmtId="0" xfId="0" applyAlignment="1" applyBorder="1" applyFont="1">
      <alignment vertical="bottom"/>
    </xf>
    <xf borderId="4" fillId="5" fontId="8" numFmtId="0" xfId="0" applyAlignment="1" applyBorder="1" applyFont="1">
      <alignment vertical="bottom"/>
    </xf>
    <xf borderId="4" fillId="5" fontId="1" numFmtId="3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 Monthly Sales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'Cierres Mensual'!$B$3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3"/>
          </c:dPt>
          <c:dPt>
            <c:idx val="4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#,##0[$€]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Mensual'!$C$2:$J$2</c:f>
            </c:strRef>
          </c:cat>
          <c:val>
            <c:numRef>
              <c:f>'Cierres Mensual'!$C$3:$J$3</c:f>
              <c:numCache/>
            </c:numRef>
          </c:val>
        </c:ser>
        <c:ser>
          <c:idx val="1"/>
          <c:order val="1"/>
          <c:tx>
            <c:strRef>
              <c:f>'Cierres Mensual'!$B$4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Mensual'!$C$2:$J$2</c:f>
            </c:strRef>
          </c:cat>
          <c:val>
            <c:numRef>
              <c:f>'Cierres Mensual'!$C$4:$J$4</c:f>
              <c:numCache/>
            </c:numRef>
          </c:val>
        </c:ser>
        <c:ser>
          <c:idx val="2"/>
          <c:order val="2"/>
          <c:tx>
            <c:strRef>
              <c:f>'Cierres Mensual'!$B$5</c:f>
            </c:strRef>
          </c:tx>
          <c:cat>
            <c:strRef>
              <c:f>'Cierres Mensual'!$C$2:$J$2</c:f>
            </c:strRef>
          </c:cat>
          <c:val>
            <c:numRef>
              <c:f>'Cierres Mensual'!$C$5:$J$5</c:f>
              <c:numCache/>
            </c:numRef>
          </c:val>
        </c:ser>
        <c:axId val="1824737055"/>
        <c:axId val="1370232237"/>
      </c:barChart>
      <c:catAx>
        <c:axId val="1824737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232237"/>
      </c:catAx>
      <c:valAx>
        <c:axId val="1370232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737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 Monthly Sales 2025 (30 September 2025)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'Cierres Mensual'!$B$3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#,##0[$€]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Mensual'!$C$2:$G$2</c:f>
            </c:strRef>
          </c:cat>
          <c:val>
            <c:numRef>
              <c:f>'Cierres Mensual'!$C$3:$G$3</c:f>
              <c:numCache/>
            </c:numRef>
          </c:val>
        </c:ser>
        <c:ser>
          <c:idx val="1"/>
          <c:order val="1"/>
          <c:tx>
            <c:strRef>
              <c:f>'Cierres Mensual'!$B$4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Mensual'!$C$2:$G$2</c:f>
            </c:strRef>
          </c:cat>
          <c:val>
            <c:numRef>
              <c:f>'Cierres Mensual'!$C$4:$G$4</c:f>
              <c:numCache/>
            </c:numRef>
          </c:val>
        </c:ser>
        <c:ser>
          <c:idx val="2"/>
          <c:order val="2"/>
          <c:tx>
            <c:strRef>
              <c:f>'Cierres Mensual'!$B$5</c:f>
            </c:strRef>
          </c:tx>
          <c:cat>
            <c:strRef>
              <c:f>'Cierres Mensual'!$C$2:$G$2</c:f>
            </c:strRef>
          </c:cat>
          <c:val>
            <c:numRef>
              <c:f>'Cierres Mensual'!$C$5:$G$5</c:f>
              <c:numCache/>
            </c:numRef>
          </c:val>
        </c:ser>
        <c:axId val="1776596012"/>
        <c:axId val="1776514769"/>
      </c:barChart>
      <c:catAx>
        <c:axId val="1776596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514769"/>
      </c:catAx>
      <c:valAx>
        <c:axId val="1776514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596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 Monthly Sales 2025 per Channel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'Cierres Mensual'!$B$9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[$€]#,##0" sourceLinked="0"/>
            <c:txPr>
              <a:bodyPr/>
              <a:lstStyle/>
              <a:p>
                <a:pPr lvl="0">
                  <a:defRPr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Mensual'!$C$8:$J$8</c:f>
            </c:strRef>
          </c:cat>
          <c:val>
            <c:numRef>
              <c:f>'Cierres Mensual'!$C$9:$J$9</c:f>
              <c:numCache/>
            </c:numRef>
          </c:val>
        </c:ser>
        <c:ser>
          <c:idx val="1"/>
          <c:order val="1"/>
          <c:tx>
            <c:strRef>
              <c:f>'Cierres Mensual'!$B$10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[$€]#,##0" sourceLinked="0"/>
            <c:txPr>
              <a:bodyPr/>
              <a:lstStyle/>
              <a:p>
                <a:pPr lvl="0">
                  <a:defRPr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Mensual'!$C$8:$J$8</c:f>
            </c:strRef>
          </c:cat>
          <c:val>
            <c:numRef>
              <c:f>'Cierres Mensual'!$C$10:$J$10</c:f>
              <c:numCache/>
            </c:numRef>
          </c:val>
        </c:ser>
        <c:ser>
          <c:idx val="2"/>
          <c:order val="2"/>
          <c:tx>
            <c:strRef>
              <c:f>'Cierres Mensual'!$B$11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dLbls>
            <c:numFmt formatCode="[$€]#,##0" sourceLinked="0"/>
            <c:txPr>
              <a:bodyPr/>
              <a:lstStyle/>
              <a:p>
                <a:pPr lvl="0">
                  <a:defRPr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Mensual'!$C$8:$J$8</c:f>
            </c:strRef>
          </c:cat>
          <c:val>
            <c:numRef>
              <c:f>'Cierres Mensual'!$C$11:$J$11</c:f>
              <c:numCache/>
            </c:numRef>
          </c:val>
        </c:ser>
        <c:ser>
          <c:idx val="3"/>
          <c:order val="3"/>
          <c:tx>
            <c:strRef>
              <c:f>'Cierres Mensual'!$B$12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Lbls>
            <c:numFmt formatCode="[$€]#,##0" sourceLinked="0"/>
            <c:txPr>
              <a:bodyPr/>
              <a:lstStyle/>
              <a:p>
                <a:pPr lvl="0">
                  <a:defRPr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Mensual'!$C$8:$J$8</c:f>
            </c:strRef>
          </c:cat>
          <c:val>
            <c:numRef>
              <c:f>'Cierres Mensual'!$C$12:$J$12</c:f>
              <c:numCache/>
            </c:numRef>
          </c:val>
        </c:ser>
        <c:overlap val="100"/>
        <c:axId val="1377992734"/>
        <c:axId val="854282853"/>
      </c:barChart>
      <c:catAx>
        <c:axId val="1377992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282853"/>
      </c:catAx>
      <c:valAx>
        <c:axId val="854282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992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Septiembre Sales per Channel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'Cierres Mensual'!$G$8</c:f>
            </c:strRef>
          </c:tx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Pt>
            <c:idx val="2"/>
            <c:spPr>
              <a:solidFill>
                <a:srgbClr val="999999"/>
              </a:solidFill>
            </c:spPr>
          </c:dPt>
          <c:dPt>
            <c:idx val="3"/>
            <c:spPr>
              <a:solidFill>
                <a:srgbClr val="E0666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'Cierres Mensual'!$B$9:$B$12</c:f>
            </c:strRef>
          </c:cat>
          <c:val>
            <c:numRef>
              <c:f>'Cierres Mensual'!$G$9:$G$12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 Monthly Sales 2025 per Channel (30 September 2025)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'Cierres Mensual'!$B$9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[$€]#,##0" sourceLinked="0"/>
            <c:txPr>
              <a:bodyPr/>
              <a:lstStyle/>
              <a:p>
                <a:pPr lvl="0">
                  <a:defRPr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Mensual'!$C$8:$G$8</c:f>
            </c:strRef>
          </c:cat>
          <c:val>
            <c:numRef>
              <c:f>'Cierres Mensual'!$C$9:$G$9</c:f>
              <c:numCache/>
            </c:numRef>
          </c:val>
        </c:ser>
        <c:ser>
          <c:idx val="1"/>
          <c:order val="1"/>
          <c:tx>
            <c:strRef>
              <c:f>'Cierres Mensual'!$B$10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[$€]#,##0" sourceLinked="0"/>
            <c:txPr>
              <a:bodyPr/>
              <a:lstStyle/>
              <a:p>
                <a:pPr lvl="0">
                  <a:defRPr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Mensual'!$C$8:$G$8</c:f>
            </c:strRef>
          </c:cat>
          <c:val>
            <c:numRef>
              <c:f>'Cierres Mensual'!$C$10:$G$10</c:f>
              <c:numCache/>
            </c:numRef>
          </c:val>
        </c:ser>
        <c:ser>
          <c:idx val="2"/>
          <c:order val="2"/>
          <c:tx>
            <c:strRef>
              <c:f>'Cierres Mensual'!$B$11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dLbls>
            <c:numFmt formatCode="[$€]#,##0" sourceLinked="0"/>
            <c:txPr>
              <a:bodyPr/>
              <a:lstStyle/>
              <a:p>
                <a:pPr lvl="0">
                  <a:defRPr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Mensual'!$C$8:$G$8</c:f>
            </c:strRef>
          </c:cat>
          <c:val>
            <c:numRef>
              <c:f>'Cierres Mensual'!$C$11:$G$11</c:f>
              <c:numCache/>
            </c:numRef>
          </c:val>
        </c:ser>
        <c:ser>
          <c:idx val="3"/>
          <c:order val="3"/>
          <c:tx>
            <c:strRef>
              <c:f>'Cierres Mensual'!$B$12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Lbls>
            <c:numFmt formatCode="[$€]#,##0" sourceLinked="0"/>
            <c:txPr>
              <a:bodyPr/>
              <a:lstStyle/>
              <a:p>
                <a:pPr lvl="0">
                  <a:defRPr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'Cierres Mensual'!$C$8:$G$8</c:f>
            </c:strRef>
          </c:cat>
          <c:val>
            <c:numRef>
              <c:f>'Cierres Mensual'!$C$12:$G$12</c:f>
              <c:numCache/>
            </c:numRef>
          </c:val>
        </c:ser>
        <c:overlap val="100"/>
        <c:axId val="1659310126"/>
        <c:axId val="645107616"/>
      </c:barChart>
      <c:catAx>
        <c:axId val="1659310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107616"/>
      </c:catAx>
      <c:valAx>
        <c:axId val="645107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310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EUR vs.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'Cierres Semanales'!$C$2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'Cierres Semanales'!$B$3:$B$34</c:f>
            </c:strRef>
          </c:cat>
          <c:val>
            <c:numRef>
              <c:f>'Cierres Semanales'!$C$3:$C$34</c:f>
              <c:numCache/>
            </c:numRef>
          </c:val>
        </c:ser>
        <c:axId val="1002044405"/>
        <c:axId val="1845308683"/>
      </c:barChart>
      <c:catAx>
        <c:axId val="1002044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308683"/>
      </c:catAx>
      <c:valAx>
        <c:axId val="1845308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044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# Botellas vs.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'Cierres Semanales'!$D$2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'Cierres Semanales'!$B$3:$B$34</c:f>
            </c:strRef>
          </c:cat>
          <c:val>
            <c:numRef>
              <c:f>'Cierres Semanales'!$D$3:$D$34</c:f>
              <c:numCache/>
            </c:numRef>
          </c:val>
        </c:ser>
        <c:axId val="1368894005"/>
        <c:axId val="75756392"/>
      </c:barChart>
      <c:catAx>
        <c:axId val="1368894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56392"/>
      </c:catAx>
      <c:valAx>
        <c:axId val="75756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# Botellas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894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12</xdr:row>
      <xdr:rowOff>180975</xdr:rowOff>
    </xdr:from>
    <xdr:ext cx="7153275" cy="4419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933450</xdr:colOff>
      <xdr:row>12</xdr:row>
      <xdr:rowOff>180975</xdr:rowOff>
    </xdr:from>
    <xdr:ext cx="7153275" cy="4419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</xdr:colOff>
      <xdr:row>35</xdr:row>
      <xdr:rowOff>190500</xdr:rowOff>
    </xdr:from>
    <xdr:ext cx="7153275" cy="4419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933450</xdr:colOff>
      <xdr:row>35</xdr:row>
      <xdr:rowOff>190500</xdr:rowOff>
    </xdr:from>
    <xdr:ext cx="7200900" cy="44196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60</xdr:row>
      <xdr:rowOff>190500</xdr:rowOff>
    </xdr:from>
    <xdr:ext cx="7096125" cy="44196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857250</xdr:colOff>
      <xdr:row>1</xdr:row>
      <xdr:rowOff>76200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76200</xdr:colOff>
      <xdr:row>1</xdr:row>
      <xdr:rowOff>76200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3:M11" sheet="Sales Santa Brisa Europe SL"/>
  </cacheSource>
  <cacheFields>
    <cacheField name="Escola" numFmtId="0">
      <sharedItems>
        <s v="Escola"/>
        <s v="Islacatavinos"/>
        <s v="Bodegas Jaime"/>
        <s v="Importaciones Cuesta"/>
        <s v="Devnis Menorca"/>
        <s v="Devins Menorca"/>
        <s v="Servilline Foods"/>
      </sharedItems>
    </cacheField>
    <cacheField name="Distribuidor" numFmtId="0">
      <sharedItems>
        <s v="Distribuidor"/>
      </sharedItems>
    </cacheField>
    <cacheField name=" " numFmtId="0">
      <sharedItems containsString="0" containsBlank="1">
        <m/>
      </sharedItems>
    </cacheField>
    <cacheField name="Patxi" numFmtId="0">
      <sharedItems>
        <s v="Patxi"/>
        <s v="Martin"/>
        <s v="Miguel"/>
      </sharedItems>
    </cacheField>
    <cacheField name="50" numFmtId="1">
      <sharedItems containsSemiMixedTypes="0" containsString="0" containsNumber="1">
        <n v="10.0"/>
        <n v="24.833333333333332"/>
        <n v="16.5"/>
        <n v="15.0"/>
        <n v="120.0"/>
        <n v="20.0"/>
      </sharedItems>
    </cacheField>
    <cacheField name="300" numFmtId="0">
      <sharedItems containsSemiMixedTypes="0" containsString="0" containsNumber="1" containsInteger="1">
        <n v="60.0"/>
        <n v="149.0"/>
        <n v="99.0"/>
        <n v="90.0"/>
        <n v="720.0"/>
        <n v="120.0"/>
      </sharedItems>
    </cacheField>
    <cacheField name=" 2" numFmtId="0">
      <sharedItems containsString="0" containsBlank="1">
        <m/>
      </sharedItems>
    </cacheField>
    <cacheField name="€4,064.45">
      <sharedItems containsMixedTypes="1" containsNumber="1">
        <n v="689.7"/>
        <s v="1442,32"/>
        <n v="958.32"/>
        <n v="1043.62"/>
        <n v="7972.73"/>
        <n v="138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9" firstHeaderRow="0" firstDataRow="1" firstDataCol="0"/>
  <pivotFields>
    <pivotField name="Escola" axis="axisRow" compact="0" outline="0" multipleItemSelectionAllowed="1" showAll="0" sortType="ascending">
      <items>
        <item x="2"/>
        <item x="5"/>
        <item x="4"/>
        <item x="0"/>
        <item x="3"/>
        <item x="1"/>
        <item x="6"/>
        <item t="default"/>
      </items>
    </pivotField>
    <pivotField name="Distribuidor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Patxi" compact="0" outline="0" multipleItemSelectionAllowed="1" showAll="0">
      <items>
        <item x="0"/>
        <item x="1"/>
        <item x="2"/>
        <item t="default"/>
      </items>
    </pivotField>
    <pivotField name="50" compact="0" numFmtId="1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300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€4,064.45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dataFields>
    <dataField name="COUNTA of €4,064.45" fld="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6" max="6" width="21.0"/>
    <col customWidth="1" min="7" max="7" width="19.25"/>
    <col customWidth="1" min="8" max="9" width="13.88"/>
    <col hidden="1" min="12" max="12" width="12.63"/>
    <col customWidth="1" min="13" max="13" width="15.75"/>
    <col customWidth="1" min="17" max="17" width="13.13"/>
    <col customWidth="1" min="18" max="18" width="30.3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6"/>
    </row>
    <row r="2" hidden="1">
      <c r="A2" s="7">
        <v>45909.0</v>
      </c>
      <c r="B2" s="8">
        <v>9.0</v>
      </c>
      <c r="C2" s="3">
        <v>37.0</v>
      </c>
      <c r="D2" s="3">
        <v>2025.0</v>
      </c>
      <c r="E2" s="8" t="s">
        <v>17</v>
      </c>
      <c r="F2" s="9" t="s">
        <v>18</v>
      </c>
      <c r="G2" s="9" t="s">
        <v>19</v>
      </c>
      <c r="I2" s="8" t="s">
        <v>20</v>
      </c>
      <c r="J2" s="10">
        <v>5.0</v>
      </c>
      <c r="K2" s="11">
        <v>30.0</v>
      </c>
      <c r="M2" s="12">
        <v>508.2</v>
      </c>
      <c r="N2" s="8" t="s">
        <v>21</v>
      </c>
      <c r="P2" s="9" t="s">
        <v>22</v>
      </c>
      <c r="Q2" s="8"/>
      <c r="R2" s="13"/>
      <c r="S2" s="13"/>
      <c r="T2" s="13"/>
      <c r="U2" s="13"/>
      <c r="V2" s="13"/>
      <c r="W2" s="13"/>
      <c r="X2" s="13"/>
      <c r="Y2" s="13"/>
      <c r="Z2" s="13"/>
    </row>
    <row r="3">
      <c r="A3" s="14">
        <v>45926.0</v>
      </c>
      <c r="B3" s="15">
        <v>9.0</v>
      </c>
      <c r="C3" s="16">
        <f t="shared" ref="C3:C7" si="1">WEEKNUM((A3))</f>
        <v>39</v>
      </c>
      <c r="D3" s="17">
        <v>2025.0</v>
      </c>
      <c r="E3" s="18">
        <v>2500018.0</v>
      </c>
      <c r="F3" s="9" t="s">
        <v>23</v>
      </c>
      <c r="G3" s="19" t="s">
        <v>24</v>
      </c>
      <c r="H3" s="20" t="s">
        <v>25</v>
      </c>
      <c r="I3" s="20" t="s">
        <v>26</v>
      </c>
      <c r="J3" s="21">
        <v>50.0</v>
      </c>
      <c r="K3" s="17">
        <f t="shared" ref="K3:K6" si="2">J3*6</f>
        <v>300</v>
      </c>
      <c r="L3" s="13" t="s">
        <v>25</v>
      </c>
      <c r="M3" s="22">
        <v>4064.45</v>
      </c>
      <c r="N3" s="23" t="s">
        <v>21</v>
      </c>
      <c r="O3" s="13"/>
      <c r="P3" s="19" t="s">
        <v>22</v>
      </c>
      <c r="Q3" s="23" t="s">
        <v>27</v>
      </c>
      <c r="R3" s="6"/>
      <c r="S3" s="16"/>
    </row>
    <row r="4">
      <c r="A4" s="14">
        <v>45926.0</v>
      </c>
      <c r="B4" s="15">
        <v>9.0</v>
      </c>
      <c r="C4" s="16">
        <f t="shared" si="1"/>
        <v>39</v>
      </c>
      <c r="D4" s="17">
        <v>2025.0</v>
      </c>
      <c r="E4" s="15">
        <v>2500017.0</v>
      </c>
      <c r="F4" s="9" t="s">
        <v>23</v>
      </c>
      <c r="G4" s="19" t="s">
        <v>24</v>
      </c>
      <c r="H4" s="20"/>
      <c r="I4" s="20" t="s">
        <v>26</v>
      </c>
      <c r="J4" s="24">
        <v>10.0</v>
      </c>
      <c r="K4" s="17">
        <f t="shared" si="2"/>
        <v>60</v>
      </c>
      <c r="L4" s="13"/>
      <c r="M4" s="25">
        <v>689.7</v>
      </c>
      <c r="N4" s="23" t="s">
        <v>21</v>
      </c>
      <c r="O4" s="13"/>
      <c r="P4" s="19" t="s">
        <v>22</v>
      </c>
      <c r="Q4" s="23" t="s">
        <v>27</v>
      </c>
      <c r="R4" s="13"/>
      <c r="S4" s="13"/>
      <c r="T4" s="13"/>
      <c r="U4" s="13"/>
      <c r="V4" s="13"/>
      <c r="W4" s="13"/>
      <c r="X4" s="13"/>
      <c r="Y4" s="13"/>
      <c r="Z4" s="13"/>
    </row>
    <row r="5">
      <c r="A5" s="14">
        <v>45926.0</v>
      </c>
      <c r="B5" s="15">
        <v>9.0</v>
      </c>
      <c r="C5" s="16">
        <f t="shared" si="1"/>
        <v>39</v>
      </c>
      <c r="D5" s="17">
        <v>2025.0</v>
      </c>
      <c r="E5" s="15">
        <v>2500016.0</v>
      </c>
      <c r="F5" s="19" t="s">
        <v>28</v>
      </c>
      <c r="G5" s="19" t="s">
        <v>24</v>
      </c>
      <c r="H5" s="13"/>
      <c r="I5" s="23" t="s">
        <v>29</v>
      </c>
      <c r="J5" s="24">
        <v>10.0</v>
      </c>
      <c r="K5" s="17">
        <f t="shared" si="2"/>
        <v>60</v>
      </c>
      <c r="L5" s="13"/>
      <c r="M5" s="25">
        <v>689.7</v>
      </c>
      <c r="N5" s="23" t="s">
        <v>21</v>
      </c>
      <c r="O5" s="13"/>
      <c r="P5" s="19" t="s">
        <v>22</v>
      </c>
      <c r="Q5" s="23" t="s">
        <v>30</v>
      </c>
      <c r="R5" s="13"/>
      <c r="S5" s="13"/>
      <c r="T5" s="13"/>
      <c r="U5" s="13"/>
      <c r="V5" s="13"/>
      <c r="W5" s="13"/>
      <c r="X5" s="13"/>
      <c r="Y5" s="13"/>
      <c r="Z5" s="13"/>
    </row>
    <row r="6">
      <c r="A6" s="14">
        <v>45926.0</v>
      </c>
      <c r="B6" s="15">
        <v>9.0</v>
      </c>
      <c r="C6" s="16">
        <f t="shared" si="1"/>
        <v>39</v>
      </c>
      <c r="D6" s="17">
        <v>2025.0</v>
      </c>
      <c r="E6" s="15">
        <v>2500015.0</v>
      </c>
      <c r="F6" s="19" t="s">
        <v>31</v>
      </c>
      <c r="G6" s="19" t="s">
        <v>24</v>
      </c>
      <c r="H6" s="13"/>
      <c r="I6" s="23" t="s">
        <v>29</v>
      </c>
      <c r="J6" s="24">
        <v>10.0</v>
      </c>
      <c r="K6" s="17">
        <f t="shared" si="2"/>
        <v>60</v>
      </c>
      <c r="L6" s="13"/>
      <c r="M6" s="25">
        <v>689.7</v>
      </c>
      <c r="N6" s="23" t="s">
        <v>21</v>
      </c>
      <c r="O6" s="13"/>
      <c r="P6" s="19" t="s">
        <v>22</v>
      </c>
      <c r="Q6" s="23" t="s">
        <v>32</v>
      </c>
      <c r="R6" s="13"/>
      <c r="S6" s="13"/>
      <c r="T6" s="13"/>
      <c r="U6" s="13"/>
      <c r="V6" s="13"/>
      <c r="W6" s="13"/>
      <c r="X6" s="13"/>
      <c r="Y6" s="13"/>
      <c r="Z6" s="13"/>
    </row>
    <row r="7">
      <c r="A7" s="14">
        <v>45926.0</v>
      </c>
      <c r="B7" s="15">
        <v>9.0</v>
      </c>
      <c r="C7" s="16">
        <f t="shared" si="1"/>
        <v>39</v>
      </c>
      <c r="D7" s="17">
        <v>2025.0</v>
      </c>
      <c r="E7" s="15">
        <v>2500013.0</v>
      </c>
      <c r="F7" s="9" t="s">
        <v>33</v>
      </c>
      <c r="G7" s="19" t="s">
        <v>24</v>
      </c>
      <c r="H7" s="20"/>
      <c r="I7" s="23" t="s">
        <v>29</v>
      </c>
      <c r="J7" s="24">
        <f>K7/6</f>
        <v>24.83333333</v>
      </c>
      <c r="K7" s="3">
        <v>149.0</v>
      </c>
      <c r="L7" s="13"/>
      <c r="M7" s="26" t="s">
        <v>34</v>
      </c>
      <c r="N7" s="23" t="s">
        <v>21</v>
      </c>
      <c r="O7" s="13"/>
      <c r="P7" s="19" t="s">
        <v>22</v>
      </c>
      <c r="Q7" s="23" t="s">
        <v>35</v>
      </c>
      <c r="R7" s="13"/>
      <c r="S7" s="13"/>
      <c r="T7" s="13"/>
      <c r="U7" s="13"/>
      <c r="V7" s="13"/>
      <c r="W7" s="13"/>
      <c r="X7" s="13"/>
      <c r="Y7" s="13"/>
      <c r="Z7" s="13"/>
    </row>
    <row r="8">
      <c r="A8" s="27" t="s">
        <v>36</v>
      </c>
      <c r="B8" s="8">
        <v>9.0</v>
      </c>
      <c r="C8" s="3">
        <v>37.0</v>
      </c>
      <c r="D8" s="3">
        <v>2025.0</v>
      </c>
      <c r="E8" s="8" t="s">
        <v>37</v>
      </c>
      <c r="F8" s="9" t="s">
        <v>33</v>
      </c>
      <c r="G8" s="9" t="s">
        <v>24</v>
      </c>
      <c r="I8" s="8" t="s">
        <v>29</v>
      </c>
      <c r="J8" s="28">
        <v>16.5</v>
      </c>
      <c r="K8" s="11">
        <v>99.0</v>
      </c>
      <c r="M8" s="12">
        <v>958.32</v>
      </c>
      <c r="N8" s="8" t="s">
        <v>21</v>
      </c>
      <c r="P8" s="9" t="s">
        <v>22</v>
      </c>
      <c r="Q8" s="8"/>
      <c r="R8" s="13"/>
      <c r="S8" s="13"/>
      <c r="T8" s="13"/>
      <c r="U8" s="13"/>
      <c r="V8" s="13"/>
      <c r="W8" s="13"/>
      <c r="X8" s="13"/>
      <c r="Y8" s="13"/>
      <c r="Z8" s="13"/>
    </row>
    <row r="9">
      <c r="A9" s="29">
        <v>46000.0</v>
      </c>
      <c r="B9" s="8">
        <v>9.0</v>
      </c>
      <c r="C9" s="3">
        <v>37.0</v>
      </c>
      <c r="D9" s="3">
        <v>2025.0</v>
      </c>
      <c r="E9" s="8" t="s">
        <v>38</v>
      </c>
      <c r="F9" s="9" t="s">
        <v>39</v>
      </c>
      <c r="G9" s="9" t="s">
        <v>24</v>
      </c>
      <c r="I9" s="8" t="s">
        <v>40</v>
      </c>
      <c r="J9" s="10">
        <v>15.0</v>
      </c>
      <c r="K9" s="11">
        <v>90.0</v>
      </c>
      <c r="M9" s="12">
        <v>1043.62</v>
      </c>
      <c r="N9" s="8" t="s">
        <v>21</v>
      </c>
      <c r="P9" s="9" t="s">
        <v>22</v>
      </c>
      <c r="Q9" s="8"/>
      <c r="R9" s="13"/>
      <c r="S9" s="13"/>
      <c r="T9" s="13"/>
      <c r="U9" s="13"/>
      <c r="V9" s="13"/>
      <c r="W9" s="13"/>
      <c r="X9" s="13"/>
      <c r="Y9" s="13"/>
      <c r="Z9" s="13"/>
    </row>
    <row r="10">
      <c r="A10" s="29">
        <v>45942.0</v>
      </c>
      <c r="B10" s="8">
        <v>9.0</v>
      </c>
      <c r="C10" s="3">
        <v>37.0</v>
      </c>
      <c r="D10" s="3">
        <v>2025.0</v>
      </c>
      <c r="E10" s="8" t="s">
        <v>41</v>
      </c>
      <c r="F10" s="9" t="s">
        <v>42</v>
      </c>
      <c r="G10" s="9" t="s">
        <v>24</v>
      </c>
      <c r="I10" s="8" t="s">
        <v>40</v>
      </c>
      <c r="J10" s="10">
        <v>120.0</v>
      </c>
      <c r="K10" s="11">
        <v>720.0</v>
      </c>
      <c r="M10" s="12">
        <v>7972.73</v>
      </c>
      <c r="N10" s="8" t="s">
        <v>21</v>
      </c>
      <c r="P10" s="9" t="s">
        <v>22</v>
      </c>
      <c r="Q10" s="8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7">
        <v>45908.0</v>
      </c>
      <c r="B11" s="8">
        <v>9.0</v>
      </c>
      <c r="C11" s="16">
        <f t="shared" ref="C11:C12" si="3">WEEKNUM((A11))</f>
        <v>37</v>
      </c>
      <c r="D11" s="3">
        <v>2025.0</v>
      </c>
      <c r="E11" s="8" t="s">
        <v>43</v>
      </c>
      <c r="F11" s="9" t="s">
        <v>44</v>
      </c>
      <c r="G11" s="9" t="s">
        <v>24</v>
      </c>
      <c r="I11" s="8" t="s">
        <v>29</v>
      </c>
      <c r="J11" s="10">
        <f>K11/6</f>
        <v>20</v>
      </c>
      <c r="K11" s="11">
        <v>120.0</v>
      </c>
      <c r="M11" s="12">
        <v>1380.0</v>
      </c>
      <c r="N11" s="8" t="s">
        <v>21</v>
      </c>
      <c r="P11" s="9" t="s">
        <v>22</v>
      </c>
      <c r="Q11" s="8" t="s">
        <v>45</v>
      </c>
      <c r="R11" s="6"/>
      <c r="S11" s="16"/>
    </row>
    <row r="12" hidden="1">
      <c r="A12" s="7">
        <v>45929.0</v>
      </c>
      <c r="B12" s="8">
        <v>9.0</v>
      </c>
      <c r="C12" s="16">
        <f t="shared" si="3"/>
        <v>40</v>
      </c>
      <c r="D12" s="3">
        <v>2025.0</v>
      </c>
      <c r="E12" s="8" t="s">
        <v>46</v>
      </c>
      <c r="F12" s="9" t="s">
        <v>47</v>
      </c>
      <c r="G12" s="9" t="s">
        <v>47</v>
      </c>
      <c r="I12" s="8" t="s">
        <v>48</v>
      </c>
      <c r="J12" s="10">
        <v>1.0</v>
      </c>
      <c r="K12" s="11">
        <v>6.0</v>
      </c>
      <c r="M12" s="22">
        <v>105.6</v>
      </c>
      <c r="N12" s="8" t="s">
        <v>21</v>
      </c>
      <c r="P12" s="9" t="s">
        <v>22</v>
      </c>
      <c r="Q12" s="8" t="s">
        <v>49</v>
      </c>
      <c r="R12" s="6"/>
      <c r="S12" s="16"/>
    </row>
    <row r="13" hidden="1">
      <c r="A13" s="3" t="s">
        <v>50</v>
      </c>
      <c r="B13" s="8">
        <v>9.0</v>
      </c>
      <c r="C13" s="3">
        <v>39.0</v>
      </c>
      <c r="D13" s="3">
        <v>2025.0</v>
      </c>
      <c r="E13" s="8" t="s">
        <v>46</v>
      </c>
      <c r="F13" s="9" t="s">
        <v>47</v>
      </c>
      <c r="G13" s="9" t="s">
        <v>47</v>
      </c>
      <c r="I13" s="8" t="s">
        <v>48</v>
      </c>
      <c r="J13" s="30">
        <v>0.33</v>
      </c>
      <c r="K13" s="11">
        <v>2.0</v>
      </c>
      <c r="M13" s="22">
        <v>44.9</v>
      </c>
      <c r="N13" s="8" t="s">
        <v>21</v>
      </c>
      <c r="P13" s="9" t="s">
        <v>22</v>
      </c>
      <c r="Q13" s="8" t="s">
        <v>49</v>
      </c>
      <c r="R13" s="6"/>
      <c r="S13" s="16"/>
    </row>
    <row r="14" hidden="1">
      <c r="A14" s="7">
        <v>45916.0</v>
      </c>
      <c r="B14" s="8">
        <v>9.0</v>
      </c>
      <c r="C14" s="16">
        <f t="shared" ref="C14:C22" si="4">WEEKNUM((A14))</f>
        <v>38</v>
      </c>
      <c r="D14" s="3">
        <v>2025.0</v>
      </c>
      <c r="E14" s="8" t="s">
        <v>51</v>
      </c>
      <c r="F14" s="9" t="s">
        <v>47</v>
      </c>
      <c r="G14" s="9" t="s">
        <v>47</v>
      </c>
      <c r="I14" s="8" t="s">
        <v>48</v>
      </c>
      <c r="J14" s="10">
        <v>1.0</v>
      </c>
      <c r="K14" s="11">
        <v>6.0</v>
      </c>
      <c r="M14" s="22">
        <v>105.6</v>
      </c>
      <c r="N14" s="8" t="s">
        <v>21</v>
      </c>
      <c r="P14" s="9" t="s">
        <v>22</v>
      </c>
      <c r="Q14" s="8" t="s">
        <v>49</v>
      </c>
      <c r="R14" s="6"/>
      <c r="S14" s="16"/>
    </row>
    <row r="15" hidden="1">
      <c r="A15" s="7">
        <v>45912.0</v>
      </c>
      <c r="B15" s="8">
        <v>9.0</v>
      </c>
      <c r="C15" s="16">
        <f t="shared" si="4"/>
        <v>37</v>
      </c>
      <c r="D15" s="3">
        <v>2025.0</v>
      </c>
      <c r="E15" s="8" t="s">
        <v>52</v>
      </c>
      <c r="F15" s="9" t="s">
        <v>47</v>
      </c>
      <c r="G15" s="9" t="s">
        <v>47</v>
      </c>
      <c r="I15" s="8" t="s">
        <v>48</v>
      </c>
      <c r="J15" s="30">
        <f>K15/6</f>
        <v>0.3333333333</v>
      </c>
      <c r="K15" s="11">
        <v>2.0</v>
      </c>
      <c r="M15" s="12">
        <v>54.5</v>
      </c>
      <c r="N15" s="8" t="s">
        <v>21</v>
      </c>
      <c r="P15" s="9" t="s">
        <v>22</v>
      </c>
      <c r="Q15" s="8" t="s">
        <v>49</v>
      </c>
      <c r="R15" s="6"/>
      <c r="S15" s="16"/>
    </row>
    <row r="16" hidden="1">
      <c r="A16" s="7">
        <v>45909.0</v>
      </c>
      <c r="B16" s="8">
        <v>9.0</v>
      </c>
      <c r="C16" s="16">
        <f t="shared" si="4"/>
        <v>37</v>
      </c>
      <c r="D16" s="3">
        <v>2025.0</v>
      </c>
      <c r="E16" s="8" t="s">
        <v>53</v>
      </c>
      <c r="F16" s="9" t="s">
        <v>47</v>
      </c>
      <c r="G16" s="9" t="s">
        <v>47</v>
      </c>
      <c r="I16" s="8" t="s">
        <v>48</v>
      </c>
      <c r="J16" s="8">
        <v>4.0</v>
      </c>
      <c r="K16" s="11">
        <f>J16*6</f>
        <v>24</v>
      </c>
      <c r="M16" s="12">
        <v>342.2</v>
      </c>
      <c r="N16" s="8" t="s">
        <v>21</v>
      </c>
      <c r="P16" s="9" t="s">
        <v>22</v>
      </c>
      <c r="Q16" s="8" t="s">
        <v>49</v>
      </c>
      <c r="R16" s="6"/>
      <c r="S16" s="16"/>
    </row>
    <row r="17" hidden="1">
      <c r="A17" s="7">
        <v>45905.0</v>
      </c>
      <c r="B17" s="8">
        <v>9.0</v>
      </c>
      <c r="C17" s="16">
        <f t="shared" si="4"/>
        <v>36</v>
      </c>
      <c r="D17" s="3">
        <v>2025.0</v>
      </c>
      <c r="E17" s="8" t="s">
        <v>54</v>
      </c>
      <c r="F17" s="9" t="s">
        <v>47</v>
      </c>
      <c r="G17" s="9" t="s">
        <v>47</v>
      </c>
      <c r="I17" s="8" t="s">
        <v>48</v>
      </c>
      <c r="J17" s="30">
        <f t="shared" ref="J17:J18" si="5">K17/6</f>
        <v>0.3333333333</v>
      </c>
      <c r="K17" s="11">
        <v>2.0</v>
      </c>
      <c r="M17" s="12">
        <v>54.5</v>
      </c>
      <c r="N17" s="8" t="s">
        <v>21</v>
      </c>
      <c r="P17" s="9" t="s">
        <v>22</v>
      </c>
      <c r="Q17" s="8" t="s">
        <v>49</v>
      </c>
      <c r="R17" s="6"/>
      <c r="S17" s="16"/>
    </row>
    <row r="18" hidden="1">
      <c r="A18" s="7">
        <v>45902.0</v>
      </c>
      <c r="B18" s="8">
        <v>9.0</v>
      </c>
      <c r="C18" s="16">
        <f t="shared" si="4"/>
        <v>36</v>
      </c>
      <c r="D18" s="3">
        <v>2025.0</v>
      </c>
      <c r="E18" s="8" t="s">
        <v>55</v>
      </c>
      <c r="F18" s="9" t="s">
        <v>47</v>
      </c>
      <c r="G18" s="9" t="s">
        <v>47</v>
      </c>
      <c r="I18" s="8" t="s">
        <v>48</v>
      </c>
      <c r="J18" s="10">
        <f t="shared" si="5"/>
        <v>1</v>
      </c>
      <c r="K18" s="11">
        <v>6.0</v>
      </c>
      <c r="M18" s="12">
        <v>105.6</v>
      </c>
      <c r="N18" s="8" t="s">
        <v>21</v>
      </c>
      <c r="P18" s="9" t="s">
        <v>22</v>
      </c>
      <c r="Q18" s="8" t="s">
        <v>49</v>
      </c>
      <c r="R18" s="6"/>
      <c r="S18" s="16"/>
    </row>
    <row r="19" hidden="1">
      <c r="A19" s="14">
        <v>45926.0</v>
      </c>
      <c r="B19" s="15">
        <v>9.0</v>
      </c>
      <c r="C19" s="16">
        <f t="shared" si="4"/>
        <v>39</v>
      </c>
      <c r="D19" s="17">
        <v>2025.0</v>
      </c>
      <c r="E19" s="15">
        <v>2500014.0</v>
      </c>
      <c r="F19" s="19" t="s">
        <v>56</v>
      </c>
      <c r="G19" s="19" t="s">
        <v>57</v>
      </c>
      <c r="H19" s="13"/>
      <c r="I19" s="23" t="s">
        <v>20</v>
      </c>
      <c r="J19" s="24">
        <v>4.0</v>
      </c>
      <c r="K19" s="17">
        <f t="shared" ref="K19:K21" si="6">J19*6</f>
        <v>24</v>
      </c>
      <c r="L19" s="13"/>
      <c r="M19" s="25">
        <v>333.96</v>
      </c>
      <c r="N19" s="23" t="s">
        <v>21</v>
      </c>
      <c r="O19" s="13"/>
      <c r="P19" s="19" t="s">
        <v>22</v>
      </c>
      <c r="Q19" s="23" t="s">
        <v>35</v>
      </c>
      <c r="R19" s="6" t="str">
        <f>S</f>
        <v>#NAME?</v>
      </c>
      <c r="S19" s="16"/>
    </row>
    <row r="20" hidden="1">
      <c r="A20" s="14">
        <v>45926.0</v>
      </c>
      <c r="B20" s="15">
        <v>9.0</v>
      </c>
      <c r="C20" s="16">
        <f t="shared" si="4"/>
        <v>39</v>
      </c>
      <c r="D20" s="17">
        <v>2025.0</v>
      </c>
      <c r="E20" s="15">
        <v>2500012.0</v>
      </c>
      <c r="F20" s="19" t="s">
        <v>58</v>
      </c>
      <c r="G20" s="19" t="s">
        <v>57</v>
      </c>
      <c r="H20" s="13"/>
      <c r="I20" s="23" t="s">
        <v>20</v>
      </c>
      <c r="J20" s="24">
        <v>5.0</v>
      </c>
      <c r="K20" s="31">
        <f t="shared" si="6"/>
        <v>30</v>
      </c>
      <c r="L20" s="13"/>
      <c r="M20" s="25">
        <v>417.45</v>
      </c>
      <c r="N20" s="23" t="s">
        <v>21</v>
      </c>
      <c r="O20" s="13"/>
      <c r="P20" s="19" t="s">
        <v>22</v>
      </c>
      <c r="Q20" s="23" t="s">
        <v>35</v>
      </c>
      <c r="R20" s="6"/>
      <c r="S20" s="16"/>
    </row>
    <row r="21" hidden="1">
      <c r="A21" s="14">
        <v>45926.0</v>
      </c>
      <c r="B21" s="15">
        <v>9.0</v>
      </c>
      <c r="C21" s="16">
        <f t="shared" si="4"/>
        <v>39</v>
      </c>
      <c r="D21" s="17">
        <v>2025.0</v>
      </c>
      <c r="E21" s="15">
        <v>2500011.0</v>
      </c>
      <c r="F21" s="9" t="s">
        <v>59</v>
      </c>
      <c r="G21" s="19" t="s">
        <v>57</v>
      </c>
      <c r="H21" s="13"/>
      <c r="I21" s="23" t="s">
        <v>20</v>
      </c>
      <c r="J21" s="24">
        <v>5.0</v>
      </c>
      <c r="K21" s="31">
        <f t="shared" si="6"/>
        <v>30</v>
      </c>
      <c r="L21" s="13"/>
      <c r="M21" s="25">
        <v>417.45</v>
      </c>
      <c r="N21" s="23" t="s">
        <v>21</v>
      </c>
      <c r="O21" s="13"/>
      <c r="P21" s="19" t="s">
        <v>22</v>
      </c>
      <c r="Q21" s="23" t="s">
        <v>35</v>
      </c>
      <c r="R21" s="6"/>
      <c r="S21" s="16"/>
    </row>
    <row r="22" hidden="1">
      <c r="A22" s="7">
        <v>45926.0</v>
      </c>
      <c r="B22" s="8">
        <v>9.0</v>
      </c>
      <c r="C22" s="16">
        <f t="shared" si="4"/>
        <v>39</v>
      </c>
      <c r="D22" s="3">
        <v>2025.0</v>
      </c>
      <c r="F22" s="9" t="s">
        <v>60</v>
      </c>
      <c r="G22" s="9" t="s">
        <v>57</v>
      </c>
      <c r="I22" s="8" t="s">
        <v>29</v>
      </c>
      <c r="J22" s="10">
        <f>K22/6</f>
        <v>6</v>
      </c>
      <c r="K22" s="11">
        <v>36.0</v>
      </c>
      <c r="M22" s="22">
        <v>414.0</v>
      </c>
      <c r="N22" s="8" t="s">
        <v>21</v>
      </c>
      <c r="P22" s="9" t="s">
        <v>22</v>
      </c>
      <c r="Q22" s="8" t="s">
        <v>35</v>
      </c>
      <c r="R22" s="32" t="s">
        <v>61</v>
      </c>
      <c r="S22" s="16"/>
    </row>
    <row r="23" hidden="1">
      <c r="A23" s="27" t="s">
        <v>36</v>
      </c>
      <c r="B23" s="8">
        <v>9.0</v>
      </c>
      <c r="C23" s="3">
        <v>37.0</v>
      </c>
      <c r="D23" s="3">
        <v>2025.0</v>
      </c>
      <c r="E23" s="8" t="s">
        <v>62</v>
      </c>
      <c r="F23" s="9" t="s">
        <v>63</v>
      </c>
      <c r="G23" s="9" t="s">
        <v>57</v>
      </c>
      <c r="I23" s="8" t="s">
        <v>29</v>
      </c>
      <c r="J23" s="8">
        <v>4.0</v>
      </c>
      <c r="K23" s="11">
        <v>24.0</v>
      </c>
      <c r="M23" s="12">
        <v>232.32</v>
      </c>
      <c r="N23" s="8" t="s">
        <v>21</v>
      </c>
      <c r="P23" s="9"/>
      <c r="Q23" s="8"/>
      <c r="R23" s="33" t="s">
        <v>64</v>
      </c>
      <c r="S23" s="16"/>
    </row>
    <row r="24" hidden="1">
      <c r="A24" s="7">
        <v>45900.0</v>
      </c>
      <c r="B24" s="8">
        <v>8.0</v>
      </c>
      <c r="C24" s="16">
        <f t="shared" ref="C24:C68" si="7">WEEKNUM((A24))</f>
        <v>36</v>
      </c>
      <c r="D24" s="3">
        <v>2025.0</v>
      </c>
      <c r="E24" s="8" t="s">
        <v>65</v>
      </c>
      <c r="F24" s="9" t="s">
        <v>47</v>
      </c>
      <c r="G24" s="9" t="s">
        <v>47</v>
      </c>
      <c r="I24" s="8" t="s">
        <v>48</v>
      </c>
      <c r="J24" s="10">
        <f t="shared" ref="J24:J68" si="8">K24/6</f>
        <v>5</v>
      </c>
      <c r="K24" s="11">
        <v>30.0</v>
      </c>
      <c r="M24" s="22">
        <v>660.0</v>
      </c>
      <c r="N24" s="8" t="s">
        <v>21</v>
      </c>
      <c r="P24" s="9" t="s">
        <v>22</v>
      </c>
      <c r="Q24" s="8" t="s">
        <v>49</v>
      </c>
      <c r="R24" s="6"/>
      <c r="S24" s="16"/>
    </row>
    <row r="25" hidden="1">
      <c r="A25" s="7">
        <v>45900.0</v>
      </c>
      <c r="B25" s="8">
        <v>8.0</v>
      </c>
      <c r="C25" s="16">
        <f t="shared" si="7"/>
        <v>36</v>
      </c>
      <c r="D25" s="3">
        <v>2025.0</v>
      </c>
      <c r="E25" s="8" t="s">
        <v>66</v>
      </c>
      <c r="F25" s="9" t="s">
        <v>47</v>
      </c>
      <c r="G25" s="9" t="s">
        <v>47</v>
      </c>
      <c r="I25" s="8" t="s">
        <v>48</v>
      </c>
      <c r="J25" s="10">
        <f t="shared" si="8"/>
        <v>0.1666666667</v>
      </c>
      <c r="K25" s="11">
        <v>1.0</v>
      </c>
      <c r="M25" s="22">
        <v>31.5</v>
      </c>
      <c r="N25" s="8" t="s">
        <v>21</v>
      </c>
      <c r="P25" s="9" t="s">
        <v>22</v>
      </c>
      <c r="Q25" s="8" t="s">
        <v>49</v>
      </c>
      <c r="R25" s="6"/>
      <c r="S25" s="16"/>
    </row>
    <row r="26" hidden="1">
      <c r="A26" s="7">
        <v>45900.0</v>
      </c>
      <c r="B26" s="8">
        <v>8.0</v>
      </c>
      <c r="C26" s="16">
        <f t="shared" si="7"/>
        <v>36</v>
      </c>
      <c r="D26" s="3">
        <v>2025.0</v>
      </c>
      <c r="E26" s="8" t="s">
        <v>67</v>
      </c>
      <c r="F26" s="9" t="s">
        <v>47</v>
      </c>
      <c r="G26" s="9" t="s">
        <v>47</v>
      </c>
      <c r="I26" s="8" t="s">
        <v>48</v>
      </c>
      <c r="J26" s="10">
        <f t="shared" si="8"/>
        <v>1</v>
      </c>
      <c r="K26" s="11">
        <v>6.0</v>
      </c>
      <c r="M26" s="22">
        <v>105.6</v>
      </c>
      <c r="N26" s="8" t="s">
        <v>21</v>
      </c>
      <c r="P26" s="9" t="s">
        <v>22</v>
      </c>
      <c r="Q26" s="8" t="s">
        <v>49</v>
      </c>
      <c r="R26" s="6"/>
      <c r="S26" s="16"/>
    </row>
    <row r="27" hidden="1">
      <c r="A27" s="7">
        <v>45897.0</v>
      </c>
      <c r="B27" s="8">
        <v>8.0</v>
      </c>
      <c r="C27" s="16">
        <f t="shared" si="7"/>
        <v>35</v>
      </c>
      <c r="D27" s="3">
        <v>2025.0</v>
      </c>
      <c r="E27" s="8" t="s">
        <v>68</v>
      </c>
      <c r="F27" s="9" t="s">
        <v>47</v>
      </c>
      <c r="G27" s="9" t="s">
        <v>47</v>
      </c>
      <c r="I27" s="8" t="s">
        <v>48</v>
      </c>
      <c r="J27" s="10">
        <f t="shared" si="8"/>
        <v>1</v>
      </c>
      <c r="K27" s="11">
        <v>6.0</v>
      </c>
      <c r="M27" s="22">
        <v>132.0</v>
      </c>
      <c r="N27" s="8" t="s">
        <v>21</v>
      </c>
      <c r="P27" s="9" t="s">
        <v>22</v>
      </c>
      <c r="Q27" s="8" t="s">
        <v>49</v>
      </c>
      <c r="R27" s="6"/>
      <c r="S27" s="16"/>
    </row>
    <row r="28" hidden="1">
      <c r="A28" s="7">
        <v>45896.0</v>
      </c>
      <c r="B28" s="8">
        <v>8.0</v>
      </c>
      <c r="C28" s="16">
        <f t="shared" si="7"/>
        <v>35</v>
      </c>
      <c r="D28" s="3">
        <v>2025.0</v>
      </c>
      <c r="E28" s="8" t="s">
        <v>69</v>
      </c>
      <c r="F28" s="9" t="s">
        <v>47</v>
      </c>
      <c r="G28" s="9" t="s">
        <v>47</v>
      </c>
      <c r="I28" s="8" t="s">
        <v>48</v>
      </c>
      <c r="J28" s="10">
        <f t="shared" si="8"/>
        <v>0.1666666667</v>
      </c>
      <c r="K28" s="11">
        <v>1.0</v>
      </c>
      <c r="M28" s="22">
        <v>26.5</v>
      </c>
      <c r="N28" s="8" t="s">
        <v>21</v>
      </c>
      <c r="P28" s="9" t="s">
        <v>22</v>
      </c>
      <c r="Q28" s="8" t="s">
        <v>49</v>
      </c>
      <c r="R28" s="6"/>
      <c r="S28" s="16"/>
    </row>
    <row r="29" hidden="1">
      <c r="A29" s="7">
        <v>45894.0</v>
      </c>
      <c r="B29" s="8">
        <v>8.0</v>
      </c>
      <c r="C29" s="16">
        <f t="shared" si="7"/>
        <v>35</v>
      </c>
      <c r="D29" s="3">
        <v>2025.0</v>
      </c>
      <c r="E29" s="8" t="s">
        <v>70</v>
      </c>
      <c r="F29" s="9" t="s">
        <v>47</v>
      </c>
      <c r="G29" s="9" t="s">
        <v>47</v>
      </c>
      <c r="I29" s="8" t="s">
        <v>48</v>
      </c>
      <c r="J29" s="10">
        <f t="shared" si="8"/>
        <v>1</v>
      </c>
      <c r="K29" s="11">
        <v>6.0</v>
      </c>
      <c r="M29" s="22">
        <v>105.6</v>
      </c>
      <c r="N29" s="8" t="s">
        <v>21</v>
      </c>
      <c r="P29" s="9" t="s">
        <v>22</v>
      </c>
      <c r="Q29" s="8" t="s">
        <v>49</v>
      </c>
      <c r="R29" s="6"/>
      <c r="S29" s="16"/>
    </row>
    <row r="30" hidden="1">
      <c r="A30" s="7">
        <v>45892.0</v>
      </c>
      <c r="B30" s="8">
        <v>8.0</v>
      </c>
      <c r="C30" s="16">
        <f t="shared" si="7"/>
        <v>34</v>
      </c>
      <c r="D30" s="3">
        <v>2025.0</v>
      </c>
      <c r="E30" s="8" t="s">
        <v>71</v>
      </c>
      <c r="F30" s="9" t="s">
        <v>47</v>
      </c>
      <c r="G30" s="9" t="s">
        <v>47</v>
      </c>
      <c r="I30" s="8" t="s">
        <v>48</v>
      </c>
      <c r="J30" s="10">
        <f t="shared" si="8"/>
        <v>1</v>
      </c>
      <c r="K30" s="11">
        <v>6.0</v>
      </c>
      <c r="M30" s="22">
        <v>132.0</v>
      </c>
      <c r="N30" s="8" t="s">
        <v>21</v>
      </c>
      <c r="P30" s="9" t="s">
        <v>22</v>
      </c>
      <c r="Q30" s="8" t="s">
        <v>49</v>
      </c>
      <c r="R30" s="6"/>
      <c r="S30" s="16"/>
    </row>
    <row r="31" hidden="1">
      <c r="A31" s="7">
        <v>45891.0</v>
      </c>
      <c r="B31" s="8">
        <v>8.0</v>
      </c>
      <c r="C31" s="16">
        <f t="shared" si="7"/>
        <v>34</v>
      </c>
      <c r="D31" s="3">
        <v>2025.0</v>
      </c>
      <c r="E31" s="8" t="s">
        <v>72</v>
      </c>
      <c r="F31" s="9" t="s">
        <v>47</v>
      </c>
      <c r="G31" s="9" t="s">
        <v>47</v>
      </c>
      <c r="I31" s="8" t="s">
        <v>48</v>
      </c>
      <c r="J31" s="10">
        <f t="shared" si="8"/>
        <v>1</v>
      </c>
      <c r="K31" s="11">
        <v>6.0</v>
      </c>
      <c r="M31" s="22">
        <v>66.0</v>
      </c>
      <c r="N31" s="8" t="s">
        <v>21</v>
      </c>
      <c r="P31" s="9" t="s">
        <v>22</v>
      </c>
      <c r="Q31" s="8" t="s">
        <v>49</v>
      </c>
      <c r="R31" s="6"/>
      <c r="S31" s="16"/>
    </row>
    <row r="32" hidden="1">
      <c r="A32" s="7">
        <v>45889.0</v>
      </c>
      <c r="B32" s="8">
        <v>8.0</v>
      </c>
      <c r="C32" s="16">
        <f t="shared" si="7"/>
        <v>34</v>
      </c>
      <c r="D32" s="3">
        <v>2025.0</v>
      </c>
      <c r="E32" s="8" t="s">
        <v>73</v>
      </c>
      <c r="F32" s="9" t="s">
        <v>47</v>
      </c>
      <c r="G32" s="9" t="s">
        <v>47</v>
      </c>
      <c r="I32" s="8" t="s">
        <v>48</v>
      </c>
      <c r="J32" s="10">
        <f t="shared" si="8"/>
        <v>1</v>
      </c>
      <c r="K32" s="11">
        <v>6.0</v>
      </c>
      <c r="M32" s="22">
        <v>105.6</v>
      </c>
      <c r="N32" s="8" t="s">
        <v>21</v>
      </c>
      <c r="P32" s="9" t="s">
        <v>22</v>
      </c>
      <c r="Q32" s="8" t="s">
        <v>49</v>
      </c>
      <c r="R32" s="6"/>
      <c r="S32" s="16"/>
    </row>
    <row r="33" hidden="1">
      <c r="A33" s="7">
        <v>45888.0</v>
      </c>
      <c r="B33" s="8">
        <v>8.0</v>
      </c>
      <c r="C33" s="16">
        <f t="shared" si="7"/>
        <v>34</v>
      </c>
      <c r="D33" s="3">
        <v>2025.0</v>
      </c>
      <c r="E33" s="8" t="s">
        <v>74</v>
      </c>
      <c r="F33" s="9" t="s">
        <v>47</v>
      </c>
      <c r="G33" s="9" t="s">
        <v>47</v>
      </c>
      <c r="I33" s="8" t="s">
        <v>48</v>
      </c>
      <c r="J33" s="10">
        <f t="shared" si="8"/>
        <v>1</v>
      </c>
      <c r="K33" s="11">
        <v>6.0</v>
      </c>
      <c r="M33" s="22">
        <v>132.0</v>
      </c>
      <c r="N33" s="8" t="s">
        <v>21</v>
      </c>
      <c r="P33" s="9" t="s">
        <v>22</v>
      </c>
      <c r="Q33" s="8" t="s">
        <v>49</v>
      </c>
      <c r="R33" s="6"/>
      <c r="S33" s="16"/>
    </row>
    <row r="34" hidden="1">
      <c r="A34" s="7">
        <v>45886.0</v>
      </c>
      <c r="B34" s="8">
        <v>8.0</v>
      </c>
      <c r="C34" s="16">
        <f t="shared" si="7"/>
        <v>34</v>
      </c>
      <c r="D34" s="3">
        <v>2025.0</v>
      </c>
      <c r="E34" s="8" t="s">
        <v>75</v>
      </c>
      <c r="F34" s="9" t="s">
        <v>47</v>
      </c>
      <c r="G34" s="9" t="s">
        <v>47</v>
      </c>
      <c r="I34" s="8" t="s">
        <v>48</v>
      </c>
      <c r="J34" s="10">
        <f t="shared" si="8"/>
        <v>1</v>
      </c>
      <c r="K34" s="11">
        <v>6.0</v>
      </c>
      <c r="M34" s="22">
        <v>105.6</v>
      </c>
      <c r="N34" s="8" t="s">
        <v>21</v>
      </c>
      <c r="P34" s="9" t="s">
        <v>22</v>
      </c>
      <c r="Q34" s="8" t="s">
        <v>49</v>
      </c>
      <c r="R34" s="6"/>
      <c r="S34" s="16"/>
    </row>
    <row r="35" hidden="1">
      <c r="A35" s="7">
        <v>45879.0</v>
      </c>
      <c r="B35" s="8">
        <v>8.0</v>
      </c>
      <c r="C35" s="16">
        <f t="shared" si="7"/>
        <v>33</v>
      </c>
      <c r="D35" s="3">
        <v>2025.0</v>
      </c>
      <c r="E35" s="8" t="s">
        <v>76</v>
      </c>
      <c r="F35" s="9" t="s">
        <v>47</v>
      </c>
      <c r="G35" s="9" t="s">
        <v>47</v>
      </c>
      <c r="I35" s="8" t="s">
        <v>48</v>
      </c>
      <c r="J35" s="10">
        <f t="shared" si="8"/>
        <v>1</v>
      </c>
      <c r="K35" s="11">
        <v>6.0</v>
      </c>
      <c r="M35" s="22">
        <v>105.6</v>
      </c>
      <c r="N35" s="8" t="s">
        <v>21</v>
      </c>
      <c r="P35" s="9" t="s">
        <v>22</v>
      </c>
      <c r="Q35" s="8" t="s">
        <v>49</v>
      </c>
      <c r="R35" s="6"/>
      <c r="S35" s="16"/>
    </row>
    <row r="36" hidden="1">
      <c r="A36" s="7">
        <v>45879.0</v>
      </c>
      <c r="B36" s="8">
        <v>8.0</v>
      </c>
      <c r="C36" s="16">
        <f t="shared" si="7"/>
        <v>33</v>
      </c>
      <c r="D36" s="3">
        <v>2025.0</v>
      </c>
      <c r="E36" s="8"/>
      <c r="F36" s="9" t="s">
        <v>47</v>
      </c>
      <c r="G36" s="9" t="s">
        <v>47</v>
      </c>
      <c r="I36" s="8" t="s">
        <v>48</v>
      </c>
      <c r="J36" s="10">
        <f t="shared" si="8"/>
        <v>0.3333333333</v>
      </c>
      <c r="K36" s="11">
        <v>2.0</v>
      </c>
      <c r="M36" s="22">
        <v>47.78</v>
      </c>
      <c r="N36" s="8" t="s">
        <v>77</v>
      </c>
      <c r="P36" s="9" t="s">
        <v>22</v>
      </c>
      <c r="Q36" s="8" t="s">
        <v>49</v>
      </c>
      <c r="R36" s="6"/>
      <c r="S36" s="16"/>
    </row>
    <row r="37" hidden="1">
      <c r="A37" s="7">
        <v>45878.0</v>
      </c>
      <c r="B37" s="8">
        <v>8.0</v>
      </c>
      <c r="C37" s="16">
        <f t="shared" si="7"/>
        <v>32</v>
      </c>
      <c r="D37" s="3">
        <v>2025.0</v>
      </c>
      <c r="E37" s="8" t="s">
        <v>78</v>
      </c>
      <c r="F37" s="9" t="s">
        <v>47</v>
      </c>
      <c r="G37" s="9" t="s">
        <v>47</v>
      </c>
      <c r="I37" s="8" t="s">
        <v>48</v>
      </c>
      <c r="J37" s="10">
        <f t="shared" si="8"/>
        <v>0.3333333333</v>
      </c>
      <c r="K37" s="11">
        <v>2.0</v>
      </c>
      <c r="M37" s="22">
        <v>44.9</v>
      </c>
      <c r="N37" s="8" t="s">
        <v>21</v>
      </c>
      <c r="P37" s="9" t="s">
        <v>22</v>
      </c>
      <c r="Q37" s="8" t="s">
        <v>49</v>
      </c>
      <c r="R37" s="6"/>
      <c r="S37" s="16"/>
    </row>
    <row r="38" hidden="1">
      <c r="A38" s="7">
        <v>45875.0</v>
      </c>
      <c r="B38" s="8">
        <v>8.0</v>
      </c>
      <c r="C38" s="16">
        <f t="shared" si="7"/>
        <v>32</v>
      </c>
      <c r="D38" s="3">
        <v>2025.0</v>
      </c>
      <c r="E38" s="8" t="s">
        <v>79</v>
      </c>
      <c r="F38" s="9" t="s">
        <v>47</v>
      </c>
      <c r="G38" s="9" t="s">
        <v>47</v>
      </c>
      <c r="I38" s="8" t="s">
        <v>48</v>
      </c>
      <c r="J38" s="10">
        <f t="shared" si="8"/>
        <v>1</v>
      </c>
      <c r="K38" s="11">
        <v>6.0</v>
      </c>
      <c r="M38" s="22">
        <v>105.6</v>
      </c>
      <c r="N38" s="8" t="s">
        <v>21</v>
      </c>
      <c r="P38" s="9" t="s">
        <v>22</v>
      </c>
      <c r="Q38" s="8" t="s">
        <v>49</v>
      </c>
      <c r="R38" s="6"/>
      <c r="S38" s="16"/>
    </row>
    <row r="39" hidden="1">
      <c r="A39" s="7">
        <v>45875.0</v>
      </c>
      <c r="B39" s="8">
        <v>8.0</v>
      </c>
      <c r="C39" s="16">
        <f t="shared" si="7"/>
        <v>32</v>
      </c>
      <c r="D39" s="3">
        <v>2025.0</v>
      </c>
      <c r="E39" s="8" t="s">
        <v>80</v>
      </c>
      <c r="F39" s="9" t="s">
        <v>47</v>
      </c>
      <c r="G39" s="9" t="s">
        <v>47</v>
      </c>
      <c r="I39" s="8" t="s">
        <v>48</v>
      </c>
      <c r="J39" s="10">
        <f t="shared" si="8"/>
        <v>1</v>
      </c>
      <c r="K39" s="11">
        <v>6.0</v>
      </c>
      <c r="M39" s="22">
        <v>105.6</v>
      </c>
      <c r="N39" s="8" t="s">
        <v>21</v>
      </c>
      <c r="P39" s="9" t="s">
        <v>22</v>
      </c>
      <c r="Q39" s="8" t="s">
        <v>49</v>
      </c>
      <c r="R39" s="6"/>
      <c r="S39" s="16"/>
    </row>
    <row r="40" hidden="1">
      <c r="A40" s="7">
        <v>45874.0</v>
      </c>
      <c r="B40" s="8">
        <v>8.0</v>
      </c>
      <c r="C40" s="16">
        <f t="shared" si="7"/>
        <v>32</v>
      </c>
      <c r="D40" s="3">
        <v>2025.0</v>
      </c>
      <c r="E40" s="8" t="s">
        <v>81</v>
      </c>
      <c r="F40" s="9" t="s">
        <v>47</v>
      </c>
      <c r="G40" s="9" t="s">
        <v>47</v>
      </c>
      <c r="I40" s="8" t="s">
        <v>48</v>
      </c>
      <c r="J40" s="10">
        <f t="shared" si="8"/>
        <v>0.3333333333</v>
      </c>
      <c r="K40" s="11">
        <v>2.0</v>
      </c>
      <c r="M40" s="22">
        <v>44.9</v>
      </c>
      <c r="N40" s="8" t="s">
        <v>21</v>
      </c>
      <c r="P40" s="9" t="s">
        <v>22</v>
      </c>
      <c r="Q40" s="8" t="s">
        <v>49</v>
      </c>
      <c r="R40" s="6"/>
      <c r="S40" s="16"/>
    </row>
    <row r="41" hidden="1">
      <c r="A41" s="7">
        <v>45874.0</v>
      </c>
      <c r="B41" s="8">
        <v>8.0</v>
      </c>
      <c r="C41" s="16">
        <f t="shared" si="7"/>
        <v>32</v>
      </c>
      <c r="D41" s="3">
        <v>2025.0</v>
      </c>
      <c r="E41" s="8" t="s">
        <v>82</v>
      </c>
      <c r="F41" s="9" t="s">
        <v>47</v>
      </c>
      <c r="G41" s="9" t="s">
        <v>47</v>
      </c>
      <c r="I41" s="8" t="s">
        <v>48</v>
      </c>
      <c r="J41" s="10">
        <f t="shared" si="8"/>
        <v>1</v>
      </c>
      <c r="K41" s="11">
        <v>6.0</v>
      </c>
      <c r="M41" s="22">
        <v>105.6</v>
      </c>
      <c r="N41" s="8" t="s">
        <v>21</v>
      </c>
      <c r="P41" s="9" t="s">
        <v>22</v>
      </c>
      <c r="Q41" s="8" t="s">
        <v>49</v>
      </c>
      <c r="R41" s="6"/>
      <c r="S41" s="16"/>
    </row>
    <row r="42" hidden="1">
      <c r="A42" s="7">
        <v>45873.0</v>
      </c>
      <c r="B42" s="8">
        <v>8.0</v>
      </c>
      <c r="C42" s="16">
        <f t="shared" si="7"/>
        <v>32</v>
      </c>
      <c r="D42" s="3">
        <v>2025.0</v>
      </c>
      <c r="E42" s="8" t="s">
        <v>83</v>
      </c>
      <c r="F42" s="9" t="s">
        <v>47</v>
      </c>
      <c r="G42" s="9" t="s">
        <v>47</v>
      </c>
      <c r="I42" s="8" t="s">
        <v>48</v>
      </c>
      <c r="J42" s="10">
        <f t="shared" si="8"/>
        <v>0.1666666667</v>
      </c>
      <c r="K42" s="11">
        <v>1.0</v>
      </c>
      <c r="M42" s="22">
        <v>26.5</v>
      </c>
      <c r="N42" s="8" t="s">
        <v>21</v>
      </c>
      <c r="P42" s="9" t="s">
        <v>22</v>
      </c>
      <c r="Q42" s="8" t="s">
        <v>49</v>
      </c>
      <c r="R42" s="6"/>
      <c r="S42" s="16"/>
    </row>
    <row r="43" hidden="1">
      <c r="A43" s="7">
        <v>45873.0</v>
      </c>
      <c r="B43" s="8">
        <v>8.0</v>
      </c>
      <c r="C43" s="16">
        <f t="shared" si="7"/>
        <v>32</v>
      </c>
      <c r="D43" s="3">
        <v>2025.0</v>
      </c>
      <c r="E43" s="8" t="s">
        <v>84</v>
      </c>
      <c r="F43" s="9" t="s">
        <v>47</v>
      </c>
      <c r="G43" s="9" t="s">
        <v>47</v>
      </c>
      <c r="I43" s="8" t="s">
        <v>48</v>
      </c>
      <c r="J43" s="10">
        <f t="shared" si="8"/>
        <v>1</v>
      </c>
      <c r="K43" s="11">
        <v>6.0</v>
      </c>
      <c r="M43" s="22">
        <v>105.6</v>
      </c>
      <c r="N43" s="8" t="s">
        <v>21</v>
      </c>
      <c r="P43" s="9" t="s">
        <v>22</v>
      </c>
      <c r="Q43" s="8" t="s">
        <v>49</v>
      </c>
      <c r="R43" s="6"/>
      <c r="S43" s="16"/>
    </row>
    <row r="44" hidden="1">
      <c r="A44" s="7">
        <v>45873.0</v>
      </c>
      <c r="B44" s="8">
        <v>8.0</v>
      </c>
      <c r="C44" s="16">
        <f t="shared" si="7"/>
        <v>32</v>
      </c>
      <c r="D44" s="3">
        <v>2025.0</v>
      </c>
      <c r="E44" s="8" t="s">
        <v>85</v>
      </c>
      <c r="F44" s="9" t="s">
        <v>47</v>
      </c>
      <c r="G44" s="9" t="s">
        <v>47</v>
      </c>
      <c r="I44" s="8" t="s">
        <v>48</v>
      </c>
      <c r="J44" s="10">
        <f t="shared" si="8"/>
        <v>1</v>
      </c>
      <c r="K44" s="11">
        <v>6.0</v>
      </c>
      <c r="M44" s="22">
        <v>105.6</v>
      </c>
      <c r="N44" s="8" t="s">
        <v>21</v>
      </c>
      <c r="P44" s="9" t="s">
        <v>22</v>
      </c>
      <c r="Q44" s="8" t="s">
        <v>49</v>
      </c>
      <c r="R44" s="6"/>
      <c r="S44" s="16"/>
    </row>
    <row r="45" hidden="1">
      <c r="A45" s="7">
        <v>45873.0</v>
      </c>
      <c r="B45" s="8">
        <v>8.0</v>
      </c>
      <c r="C45" s="16">
        <f t="shared" si="7"/>
        <v>32</v>
      </c>
      <c r="D45" s="3">
        <v>2025.0</v>
      </c>
      <c r="E45" s="8" t="s">
        <v>86</v>
      </c>
      <c r="F45" s="9" t="s">
        <v>47</v>
      </c>
      <c r="G45" s="9" t="s">
        <v>47</v>
      </c>
      <c r="I45" s="8" t="s">
        <v>48</v>
      </c>
      <c r="J45" s="10">
        <f t="shared" si="8"/>
        <v>1</v>
      </c>
      <c r="K45" s="11">
        <v>6.0</v>
      </c>
      <c r="M45" s="22">
        <v>105.6</v>
      </c>
      <c r="N45" s="8" t="s">
        <v>21</v>
      </c>
      <c r="P45" s="9" t="s">
        <v>22</v>
      </c>
      <c r="Q45" s="8" t="s">
        <v>49</v>
      </c>
      <c r="R45" s="6"/>
      <c r="S45" s="16"/>
    </row>
    <row r="46" hidden="1">
      <c r="A46" s="7">
        <v>45873.0</v>
      </c>
      <c r="B46" s="8">
        <v>8.0</v>
      </c>
      <c r="C46" s="16">
        <f t="shared" si="7"/>
        <v>32</v>
      </c>
      <c r="D46" s="3">
        <v>2025.0</v>
      </c>
      <c r="E46" s="8" t="s">
        <v>87</v>
      </c>
      <c r="F46" s="9" t="s">
        <v>47</v>
      </c>
      <c r="G46" s="9" t="s">
        <v>47</v>
      </c>
      <c r="I46" s="8" t="s">
        <v>48</v>
      </c>
      <c r="J46" s="10">
        <f t="shared" si="8"/>
        <v>1</v>
      </c>
      <c r="K46" s="11">
        <v>6.0</v>
      </c>
      <c r="M46" s="22">
        <v>105.6</v>
      </c>
      <c r="N46" s="8" t="s">
        <v>21</v>
      </c>
      <c r="P46" s="9" t="s">
        <v>22</v>
      </c>
      <c r="Q46" s="8" t="s">
        <v>49</v>
      </c>
      <c r="R46" s="6"/>
      <c r="S46" s="16"/>
    </row>
    <row r="47" hidden="1">
      <c r="A47" s="7">
        <v>45871.0</v>
      </c>
      <c r="B47" s="8">
        <v>8.0</v>
      </c>
      <c r="C47" s="16">
        <f t="shared" si="7"/>
        <v>31</v>
      </c>
      <c r="D47" s="3">
        <v>2025.0</v>
      </c>
      <c r="E47" s="8" t="s">
        <v>88</v>
      </c>
      <c r="F47" s="9" t="s">
        <v>47</v>
      </c>
      <c r="G47" s="9" t="s">
        <v>47</v>
      </c>
      <c r="I47" s="8" t="s">
        <v>48</v>
      </c>
      <c r="J47" s="10">
        <f t="shared" si="8"/>
        <v>1</v>
      </c>
      <c r="K47" s="11">
        <v>6.0</v>
      </c>
      <c r="M47" s="22">
        <v>105.6</v>
      </c>
      <c r="N47" s="8" t="s">
        <v>21</v>
      </c>
      <c r="P47" s="9" t="s">
        <v>22</v>
      </c>
      <c r="Q47" s="8" t="s">
        <v>49</v>
      </c>
      <c r="R47" s="6"/>
      <c r="S47" s="16"/>
    </row>
    <row r="48" hidden="1">
      <c r="A48" s="7">
        <v>45870.0</v>
      </c>
      <c r="B48" s="8">
        <v>8.0</v>
      </c>
      <c r="C48" s="16">
        <f t="shared" si="7"/>
        <v>31</v>
      </c>
      <c r="D48" s="3">
        <v>2025.0</v>
      </c>
      <c r="E48" s="8" t="s">
        <v>89</v>
      </c>
      <c r="F48" s="9" t="s">
        <v>47</v>
      </c>
      <c r="G48" s="9" t="s">
        <v>47</v>
      </c>
      <c r="I48" s="8" t="s">
        <v>48</v>
      </c>
      <c r="J48" s="10">
        <f t="shared" si="8"/>
        <v>1</v>
      </c>
      <c r="K48" s="11">
        <v>6.0</v>
      </c>
      <c r="M48" s="22">
        <v>66.0</v>
      </c>
      <c r="N48" s="8" t="s">
        <v>21</v>
      </c>
      <c r="P48" s="9" t="s">
        <v>22</v>
      </c>
      <c r="Q48" s="8" t="s">
        <v>49</v>
      </c>
      <c r="R48" s="6"/>
      <c r="S48" s="16"/>
    </row>
    <row r="49" hidden="1">
      <c r="A49" s="7">
        <v>45868.0</v>
      </c>
      <c r="B49" s="8">
        <v>7.0</v>
      </c>
      <c r="C49" s="16">
        <f t="shared" si="7"/>
        <v>31</v>
      </c>
      <c r="D49" s="3">
        <v>2025.0</v>
      </c>
      <c r="E49" s="8" t="s">
        <v>90</v>
      </c>
      <c r="F49" s="9" t="s">
        <v>47</v>
      </c>
      <c r="G49" s="9" t="s">
        <v>47</v>
      </c>
      <c r="I49" s="8" t="s">
        <v>48</v>
      </c>
      <c r="J49" s="10">
        <f t="shared" si="8"/>
        <v>1</v>
      </c>
      <c r="K49" s="11">
        <v>6.0</v>
      </c>
      <c r="M49" s="22">
        <v>66.0</v>
      </c>
      <c r="N49" s="8" t="s">
        <v>21</v>
      </c>
      <c r="P49" s="9" t="s">
        <v>22</v>
      </c>
      <c r="Q49" s="8" t="s">
        <v>49</v>
      </c>
      <c r="R49" s="6"/>
      <c r="S49" s="16"/>
    </row>
    <row r="50" hidden="1">
      <c r="A50" s="7">
        <v>45868.0</v>
      </c>
      <c r="B50" s="8">
        <v>7.0</v>
      </c>
      <c r="C50" s="16">
        <f t="shared" si="7"/>
        <v>31</v>
      </c>
      <c r="D50" s="3">
        <v>2025.0</v>
      </c>
      <c r="F50" s="9" t="s">
        <v>60</v>
      </c>
      <c r="G50" s="9" t="s">
        <v>57</v>
      </c>
      <c r="I50" s="8" t="s">
        <v>29</v>
      </c>
      <c r="J50" s="10">
        <f t="shared" si="8"/>
        <v>6</v>
      </c>
      <c r="K50" s="11">
        <v>36.0</v>
      </c>
      <c r="M50" s="22">
        <v>414.0</v>
      </c>
      <c r="N50" s="8" t="s">
        <v>21</v>
      </c>
      <c r="P50" s="9" t="s">
        <v>22</v>
      </c>
      <c r="Q50" s="8" t="s">
        <v>35</v>
      </c>
      <c r="R50" s="6"/>
      <c r="S50" s="16"/>
    </row>
    <row r="51" hidden="1">
      <c r="A51" s="7">
        <v>45867.0</v>
      </c>
      <c r="B51" s="8">
        <v>7.0</v>
      </c>
      <c r="C51" s="16">
        <f t="shared" si="7"/>
        <v>31</v>
      </c>
      <c r="D51" s="3">
        <v>2025.0</v>
      </c>
      <c r="E51" s="8" t="s">
        <v>91</v>
      </c>
      <c r="F51" s="9" t="s">
        <v>47</v>
      </c>
      <c r="G51" s="9" t="s">
        <v>47</v>
      </c>
      <c r="I51" s="8" t="s">
        <v>48</v>
      </c>
      <c r="J51" s="10">
        <f t="shared" si="8"/>
        <v>1</v>
      </c>
      <c r="K51" s="11">
        <v>6.0</v>
      </c>
      <c r="M51" s="22">
        <v>105.6</v>
      </c>
      <c r="N51" s="8" t="s">
        <v>21</v>
      </c>
      <c r="P51" s="9" t="s">
        <v>22</v>
      </c>
      <c r="Q51" s="8" t="s">
        <v>49</v>
      </c>
      <c r="R51" s="6"/>
      <c r="S51" s="16"/>
    </row>
    <row r="52" hidden="1">
      <c r="A52" s="7">
        <v>45866.0</v>
      </c>
      <c r="B52" s="8">
        <v>7.0</v>
      </c>
      <c r="C52" s="16">
        <f t="shared" si="7"/>
        <v>31</v>
      </c>
      <c r="D52" s="3">
        <v>2025.0</v>
      </c>
      <c r="E52" s="8" t="s">
        <v>92</v>
      </c>
      <c r="F52" s="9" t="s">
        <v>47</v>
      </c>
      <c r="G52" s="9" t="s">
        <v>47</v>
      </c>
      <c r="I52" s="8" t="s">
        <v>48</v>
      </c>
      <c r="J52" s="10">
        <f t="shared" si="8"/>
        <v>2</v>
      </c>
      <c r="K52" s="11">
        <v>12.0</v>
      </c>
      <c r="M52" s="22">
        <v>264.0</v>
      </c>
      <c r="N52" s="8" t="s">
        <v>21</v>
      </c>
      <c r="P52" s="9" t="s">
        <v>22</v>
      </c>
      <c r="Q52" s="8" t="s">
        <v>49</v>
      </c>
      <c r="R52" s="6"/>
      <c r="S52" s="16"/>
    </row>
    <row r="53" hidden="1">
      <c r="A53" s="7">
        <v>45866.0</v>
      </c>
      <c r="B53" s="8">
        <v>7.0</v>
      </c>
      <c r="C53" s="16">
        <f t="shared" si="7"/>
        <v>31</v>
      </c>
      <c r="D53" s="3">
        <v>2025.0</v>
      </c>
      <c r="E53" s="8" t="s">
        <v>93</v>
      </c>
      <c r="F53" s="9" t="s">
        <v>47</v>
      </c>
      <c r="G53" s="9" t="s">
        <v>47</v>
      </c>
      <c r="I53" s="8" t="s">
        <v>48</v>
      </c>
      <c r="J53" s="10">
        <f t="shared" si="8"/>
        <v>1</v>
      </c>
      <c r="K53" s="11">
        <v>6.0</v>
      </c>
      <c r="M53" s="22">
        <v>120.0</v>
      </c>
      <c r="N53" s="8" t="s">
        <v>21</v>
      </c>
      <c r="P53" s="9" t="s">
        <v>22</v>
      </c>
      <c r="Q53" s="8" t="s">
        <v>49</v>
      </c>
      <c r="R53" s="6"/>
      <c r="S53" s="16"/>
    </row>
    <row r="54" hidden="1">
      <c r="A54" s="7">
        <v>45866.0</v>
      </c>
      <c r="B54" s="8">
        <v>7.0</v>
      </c>
      <c r="C54" s="16">
        <f t="shared" si="7"/>
        <v>31</v>
      </c>
      <c r="D54" s="3">
        <v>2025.0</v>
      </c>
      <c r="E54" s="8" t="s">
        <v>94</v>
      </c>
      <c r="F54" s="9" t="s">
        <v>47</v>
      </c>
      <c r="G54" s="9" t="s">
        <v>47</v>
      </c>
      <c r="I54" s="8" t="s">
        <v>48</v>
      </c>
      <c r="J54" s="10">
        <f t="shared" si="8"/>
        <v>1</v>
      </c>
      <c r="K54" s="11">
        <v>6.0</v>
      </c>
      <c r="M54" s="22">
        <v>105.6</v>
      </c>
      <c r="N54" s="8" t="s">
        <v>21</v>
      </c>
      <c r="P54" s="9" t="s">
        <v>22</v>
      </c>
      <c r="Q54" s="8" t="s">
        <v>49</v>
      </c>
      <c r="R54" s="6"/>
      <c r="S54" s="34"/>
    </row>
    <row r="55" hidden="1">
      <c r="A55" s="7">
        <v>45866.0</v>
      </c>
      <c r="B55" s="8">
        <v>7.0</v>
      </c>
      <c r="C55" s="16">
        <f t="shared" si="7"/>
        <v>31</v>
      </c>
      <c r="D55" s="3">
        <v>2025.0</v>
      </c>
      <c r="E55" s="8" t="s">
        <v>95</v>
      </c>
      <c r="F55" s="9" t="s">
        <v>47</v>
      </c>
      <c r="G55" s="9" t="s">
        <v>47</v>
      </c>
      <c r="I55" s="8" t="s">
        <v>48</v>
      </c>
      <c r="J55" s="10">
        <f t="shared" si="8"/>
        <v>5</v>
      </c>
      <c r="K55" s="11">
        <v>30.0</v>
      </c>
      <c r="M55" s="22">
        <v>528.0</v>
      </c>
      <c r="N55" s="8" t="s">
        <v>21</v>
      </c>
      <c r="P55" s="9" t="s">
        <v>22</v>
      </c>
      <c r="Q55" s="8" t="s">
        <v>49</v>
      </c>
      <c r="R55" s="6"/>
      <c r="S55" s="35"/>
    </row>
    <row r="56" hidden="1">
      <c r="A56" s="7">
        <v>45865.0</v>
      </c>
      <c r="B56" s="8">
        <v>7.0</v>
      </c>
      <c r="C56" s="16">
        <f t="shared" si="7"/>
        <v>31</v>
      </c>
      <c r="D56" s="3">
        <v>2025.0</v>
      </c>
      <c r="E56" s="8" t="s">
        <v>96</v>
      </c>
      <c r="F56" s="9" t="s">
        <v>47</v>
      </c>
      <c r="G56" s="9" t="s">
        <v>47</v>
      </c>
      <c r="I56" s="8" t="s">
        <v>48</v>
      </c>
      <c r="J56" s="10">
        <f t="shared" si="8"/>
        <v>2</v>
      </c>
      <c r="K56" s="11">
        <v>12.0</v>
      </c>
      <c r="M56" s="22">
        <v>264.0</v>
      </c>
      <c r="N56" s="8" t="s">
        <v>21</v>
      </c>
      <c r="P56" s="9" t="s">
        <v>22</v>
      </c>
      <c r="Q56" s="8" t="s">
        <v>49</v>
      </c>
      <c r="R56" s="6"/>
      <c r="S56" s="34"/>
    </row>
    <row r="57" hidden="1">
      <c r="A57" s="7">
        <v>45862.0</v>
      </c>
      <c r="B57" s="8">
        <v>7.0</v>
      </c>
      <c r="C57" s="16">
        <f t="shared" si="7"/>
        <v>30</v>
      </c>
      <c r="D57" s="3">
        <v>2025.0</v>
      </c>
      <c r="E57" s="8" t="s">
        <v>97</v>
      </c>
      <c r="F57" s="9" t="s">
        <v>47</v>
      </c>
      <c r="G57" s="9" t="s">
        <v>47</v>
      </c>
      <c r="I57" s="8" t="s">
        <v>48</v>
      </c>
      <c r="J57" s="10">
        <f t="shared" si="8"/>
        <v>1</v>
      </c>
      <c r="K57" s="11">
        <v>6.0</v>
      </c>
      <c r="M57" s="22">
        <v>132.0</v>
      </c>
      <c r="N57" s="8" t="s">
        <v>21</v>
      </c>
      <c r="P57" s="9" t="s">
        <v>22</v>
      </c>
      <c r="Q57" s="8" t="s">
        <v>49</v>
      </c>
    </row>
    <row r="58" hidden="1">
      <c r="A58" s="7">
        <v>45859.0</v>
      </c>
      <c r="B58" s="8">
        <v>7.0</v>
      </c>
      <c r="C58" s="16">
        <f t="shared" si="7"/>
        <v>30</v>
      </c>
      <c r="D58" s="3">
        <v>2025.0</v>
      </c>
      <c r="E58" s="8" t="s">
        <v>98</v>
      </c>
      <c r="F58" s="9" t="s">
        <v>47</v>
      </c>
      <c r="G58" s="9" t="s">
        <v>47</v>
      </c>
      <c r="I58" s="8" t="s">
        <v>48</v>
      </c>
      <c r="J58" s="10">
        <f t="shared" si="8"/>
        <v>1</v>
      </c>
      <c r="K58" s="11">
        <v>6.0</v>
      </c>
      <c r="M58" s="22">
        <v>132.0</v>
      </c>
      <c r="N58" s="8" t="s">
        <v>21</v>
      </c>
      <c r="P58" s="9" t="s">
        <v>22</v>
      </c>
      <c r="Q58" s="8" t="s">
        <v>49</v>
      </c>
    </row>
    <row r="59" hidden="1">
      <c r="A59" s="7">
        <v>45856.0</v>
      </c>
      <c r="B59" s="8">
        <v>7.0</v>
      </c>
      <c r="C59" s="16">
        <f t="shared" si="7"/>
        <v>29</v>
      </c>
      <c r="D59" s="3">
        <v>2025.0</v>
      </c>
      <c r="E59" s="8" t="s">
        <v>99</v>
      </c>
      <c r="F59" s="9" t="s">
        <v>47</v>
      </c>
      <c r="G59" s="9" t="s">
        <v>47</v>
      </c>
      <c r="I59" s="8" t="s">
        <v>48</v>
      </c>
      <c r="J59" s="10">
        <f t="shared" si="8"/>
        <v>1</v>
      </c>
      <c r="K59" s="11">
        <v>6.0</v>
      </c>
      <c r="M59" s="22">
        <v>105.6</v>
      </c>
      <c r="N59" s="8" t="s">
        <v>21</v>
      </c>
      <c r="P59" s="9" t="s">
        <v>22</v>
      </c>
      <c r="Q59" s="8" t="s">
        <v>49</v>
      </c>
    </row>
    <row r="60" hidden="1">
      <c r="A60" s="7">
        <v>45856.0</v>
      </c>
      <c r="B60" s="8">
        <v>7.0</v>
      </c>
      <c r="C60" s="16">
        <f t="shared" si="7"/>
        <v>29</v>
      </c>
      <c r="D60" s="3">
        <v>2025.0</v>
      </c>
      <c r="E60" s="8" t="s">
        <v>100</v>
      </c>
      <c r="F60" s="9" t="s">
        <v>47</v>
      </c>
      <c r="G60" s="9" t="s">
        <v>47</v>
      </c>
      <c r="I60" s="8" t="s">
        <v>48</v>
      </c>
      <c r="J60" s="10">
        <f t="shared" si="8"/>
        <v>1</v>
      </c>
      <c r="K60" s="11">
        <v>6.0</v>
      </c>
      <c r="M60" s="22">
        <v>144.0</v>
      </c>
      <c r="N60" s="8" t="s">
        <v>21</v>
      </c>
      <c r="P60" s="9" t="s">
        <v>22</v>
      </c>
      <c r="Q60" s="8" t="s">
        <v>49</v>
      </c>
    </row>
    <row r="61" hidden="1">
      <c r="A61" s="7">
        <v>45855.0</v>
      </c>
      <c r="B61" s="8">
        <v>7.0</v>
      </c>
      <c r="C61" s="16">
        <f t="shared" si="7"/>
        <v>29</v>
      </c>
      <c r="D61" s="3">
        <v>2025.0</v>
      </c>
      <c r="E61" s="8" t="s">
        <v>101</v>
      </c>
      <c r="F61" s="9" t="s">
        <v>47</v>
      </c>
      <c r="G61" s="9" t="s">
        <v>47</v>
      </c>
      <c r="I61" s="8" t="s">
        <v>48</v>
      </c>
      <c r="J61" s="10">
        <f t="shared" si="8"/>
        <v>0.3333333333</v>
      </c>
      <c r="K61" s="11">
        <v>2.0</v>
      </c>
      <c r="M61" s="22">
        <v>54.5</v>
      </c>
      <c r="N61" s="8" t="s">
        <v>21</v>
      </c>
      <c r="P61" s="9" t="s">
        <v>22</v>
      </c>
      <c r="Q61" s="8" t="s">
        <v>49</v>
      </c>
    </row>
    <row r="62" hidden="1">
      <c r="A62" s="7">
        <v>45843.0</v>
      </c>
      <c r="B62" s="8">
        <v>7.0</v>
      </c>
      <c r="C62" s="16">
        <f t="shared" si="7"/>
        <v>27</v>
      </c>
      <c r="D62" s="3">
        <v>2025.0</v>
      </c>
      <c r="E62" s="8" t="s">
        <v>101</v>
      </c>
      <c r="F62" s="9" t="s">
        <v>47</v>
      </c>
      <c r="G62" s="9" t="s">
        <v>47</v>
      </c>
      <c r="I62" s="8" t="s">
        <v>48</v>
      </c>
      <c r="J62" s="10">
        <f t="shared" si="8"/>
        <v>1</v>
      </c>
      <c r="K62" s="11">
        <v>6.0</v>
      </c>
      <c r="M62" s="22">
        <v>124.37</v>
      </c>
      <c r="N62" s="8" t="s">
        <v>21</v>
      </c>
      <c r="P62" s="9" t="s">
        <v>22</v>
      </c>
      <c r="Q62" s="8" t="s">
        <v>49</v>
      </c>
    </row>
    <row r="63" hidden="1">
      <c r="A63" s="7">
        <v>45842.0</v>
      </c>
      <c r="B63" s="8">
        <v>7.0</v>
      </c>
      <c r="C63" s="16">
        <f t="shared" si="7"/>
        <v>27</v>
      </c>
      <c r="D63" s="3">
        <v>2025.0</v>
      </c>
      <c r="F63" s="8" t="s">
        <v>102</v>
      </c>
      <c r="G63" s="9" t="s">
        <v>57</v>
      </c>
      <c r="I63" s="8" t="s">
        <v>29</v>
      </c>
      <c r="J63" s="10">
        <f t="shared" si="8"/>
        <v>10</v>
      </c>
      <c r="K63" s="11">
        <v>60.0</v>
      </c>
      <c r="M63" s="22">
        <f t="shared" ref="M63:M64" si="9">K63*8</f>
        <v>480</v>
      </c>
      <c r="N63" s="8" t="s">
        <v>21</v>
      </c>
      <c r="P63" s="9" t="s">
        <v>22</v>
      </c>
      <c r="Q63" s="8" t="s">
        <v>45</v>
      </c>
    </row>
    <row r="64" hidden="1">
      <c r="A64" s="7">
        <v>45839.0</v>
      </c>
      <c r="B64" s="8">
        <v>7.0</v>
      </c>
      <c r="C64" s="16">
        <f t="shared" si="7"/>
        <v>27</v>
      </c>
      <c r="D64" s="3">
        <v>2025.0</v>
      </c>
      <c r="F64" s="8" t="s">
        <v>102</v>
      </c>
      <c r="G64" s="9" t="s">
        <v>57</v>
      </c>
      <c r="I64" s="8" t="s">
        <v>29</v>
      </c>
      <c r="J64" s="10">
        <f t="shared" si="8"/>
        <v>20</v>
      </c>
      <c r="K64" s="11">
        <v>120.0</v>
      </c>
      <c r="M64" s="22">
        <f t="shared" si="9"/>
        <v>960</v>
      </c>
      <c r="N64" s="8" t="s">
        <v>21</v>
      </c>
      <c r="P64" s="9" t="s">
        <v>22</v>
      </c>
      <c r="Q64" s="8" t="s">
        <v>45</v>
      </c>
    </row>
    <row r="65" hidden="1">
      <c r="A65" s="7">
        <v>45835.0</v>
      </c>
      <c r="B65" s="8">
        <v>6.0</v>
      </c>
      <c r="C65" s="16">
        <f t="shared" si="7"/>
        <v>26</v>
      </c>
      <c r="D65" s="3">
        <v>2025.0</v>
      </c>
      <c r="E65" s="8" t="s">
        <v>103</v>
      </c>
      <c r="F65" s="9" t="s">
        <v>47</v>
      </c>
      <c r="G65" s="9" t="s">
        <v>47</v>
      </c>
      <c r="I65" s="8" t="s">
        <v>48</v>
      </c>
      <c r="J65" s="10">
        <f t="shared" si="8"/>
        <v>1.666666667</v>
      </c>
      <c r="K65" s="11">
        <v>10.0</v>
      </c>
      <c r="M65" s="22">
        <v>175.25</v>
      </c>
      <c r="N65" s="8" t="s">
        <v>21</v>
      </c>
      <c r="P65" s="9" t="s">
        <v>22</v>
      </c>
      <c r="Q65" s="8" t="s">
        <v>49</v>
      </c>
    </row>
    <row r="66" hidden="1">
      <c r="A66" s="7">
        <v>45834.0</v>
      </c>
      <c r="B66" s="8">
        <v>6.0</v>
      </c>
      <c r="C66" s="16">
        <f t="shared" si="7"/>
        <v>26</v>
      </c>
      <c r="D66" s="3">
        <v>2025.0</v>
      </c>
      <c r="F66" s="8" t="s">
        <v>102</v>
      </c>
      <c r="G66" s="9" t="s">
        <v>57</v>
      </c>
      <c r="I66" s="8" t="s">
        <v>29</v>
      </c>
      <c r="J66" s="10">
        <f t="shared" si="8"/>
        <v>6</v>
      </c>
      <c r="K66" s="11">
        <v>36.0</v>
      </c>
      <c r="M66" s="22">
        <f t="shared" ref="M66:M67" si="10">K66*8</f>
        <v>288</v>
      </c>
      <c r="N66" s="8" t="s">
        <v>21</v>
      </c>
      <c r="P66" s="9" t="s">
        <v>22</v>
      </c>
      <c r="Q66" s="8" t="s">
        <v>45</v>
      </c>
    </row>
    <row r="67" hidden="1">
      <c r="A67" s="7">
        <v>45834.0</v>
      </c>
      <c r="B67" s="8">
        <v>6.0</v>
      </c>
      <c r="C67" s="16">
        <f t="shared" si="7"/>
        <v>26</v>
      </c>
      <c r="D67" s="3">
        <v>2025.0</v>
      </c>
      <c r="F67" s="8" t="s">
        <v>102</v>
      </c>
      <c r="G67" s="9" t="s">
        <v>57</v>
      </c>
      <c r="I67" s="8" t="s">
        <v>29</v>
      </c>
      <c r="J67" s="10">
        <f t="shared" si="8"/>
        <v>10</v>
      </c>
      <c r="K67" s="11">
        <v>60.0</v>
      </c>
      <c r="M67" s="22">
        <f t="shared" si="10"/>
        <v>480</v>
      </c>
      <c r="N67" s="8" t="s">
        <v>21</v>
      </c>
      <c r="P67" s="9" t="s">
        <v>22</v>
      </c>
      <c r="Q67" s="8" t="s">
        <v>45</v>
      </c>
    </row>
    <row r="68" hidden="1">
      <c r="A68" s="7">
        <v>45803.0</v>
      </c>
      <c r="B68" s="8">
        <v>5.0</v>
      </c>
      <c r="C68" s="16">
        <f t="shared" si="7"/>
        <v>22</v>
      </c>
      <c r="D68" s="3">
        <v>2025.0</v>
      </c>
      <c r="E68" s="8" t="s">
        <v>104</v>
      </c>
      <c r="F68" s="9" t="s">
        <v>47</v>
      </c>
      <c r="G68" s="9" t="s">
        <v>47</v>
      </c>
      <c r="I68" s="8" t="s">
        <v>48</v>
      </c>
      <c r="J68" s="10">
        <f t="shared" si="8"/>
        <v>0.1666666667</v>
      </c>
      <c r="K68" s="11">
        <v>1.0</v>
      </c>
      <c r="M68" s="22">
        <v>47.99</v>
      </c>
      <c r="N68" s="8" t="s">
        <v>21</v>
      </c>
      <c r="P68" s="9" t="s">
        <v>22</v>
      </c>
      <c r="Q68" s="8" t="s">
        <v>49</v>
      </c>
    </row>
    <row r="69" hidden="1">
      <c r="A69" s="7"/>
      <c r="B69" s="8"/>
      <c r="C69" s="16"/>
      <c r="D69" s="3"/>
      <c r="E69" s="8"/>
      <c r="F69" s="9"/>
      <c r="G69" s="9"/>
      <c r="J69" s="10"/>
      <c r="K69" s="8"/>
      <c r="M69" s="22"/>
      <c r="N69" s="8"/>
      <c r="P69" s="9"/>
      <c r="Q69" s="8"/>
    </row>
    <row r="70" hidden="1">
      <c r="A70" s="36"/>
      <c r="B70" s="37"/>
      <c r="C70" s="37"/>
      <c r="D70" s="37"/>
      <c r="E70" s="37"/>
      <c r="F70" s="37"/>
      <c r="G70" s="37"/>
      <c r="H70" s="37"/>
      <c r="I70" s="37"/>
      <c r="J70" s="37"/>
      <c r="K70" s="36" t="s">
        <v>105</v>
      </c>
      <c r="L70" s="37"/>
      <c r="M70" s="38">
        <f>SUM(M4:M12)</f>
        <v>13529.37</v>
      </c>
    </row>
    <row r="73">
      <c r="K73" s="39">
        <f>SUM(K2:K68)</f>
        <v>2460</v>
      </c>
      <c r="M73" s="40">
        <f>SUM(M2:M68)</f>
        <v>28398.29</v>
      </c>
    </row>
  </sheetData>
  <autoFilter ref="$A$1:$Q$70">
    <filterColumn colId="1">
      <filters>
        <filter val="9"/>
      </filters>
    </filterColumn>
    <filterColumn colId="6">
      <filters blank="1">
        <filter val="Distribuidor"/>
      </filters>
    </filterColumn>
    <sortState ref="A1:Q70">
      <sortCondition ref="G1:G70"/>
      <sortCondition descending="1" ref="A1:A70"/>
      <sortCondition descending="1" ref="C1:C70"/>
    </sortState>
  </autoFilter>
  <dataValidations>
    <dataValidation type="list" allowBlank="1" showErrorMessage="1" sqref="G2:G69">
      <formula1>"Venta Privada,Directa a Punto de Venta,Distribuidor,Venta Online"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6" max="6" width="21.0"/>
    <col customWidth="1" min="7" max="8" width="13.88"/>
    <col hidden="1" min="11" max="11" width="12.63"/>
    <col customWidth="1" min="12" max="12" width="15.75"/>
    <col customWidth="1" min="17" max="17" width="19.25"/>
    <col customWidth="1" min="19" max="19" width="13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7</v>
      </c>
      <c r="H1" s="4" t="s">
        <v>8</v>
      </c>
      <c r="I1" s="2" t="s">
        <v>9</v>
      </c>
      <c r="J1" s="2" t="s">
        <v>10</v>
      </c>
      <c r="K1" s="1" t="s">
        <v>11</v>
      </c>
      <c r="L1" s="1" t="s">
        <v>12</v>
      </c>
      <c r="M1" s="5"/>
      <c r="N1" s="5" t="s">
        <v>13</v>
      </c>
      <c r="O1" s="1" t="s">
        <v>14</v>
      </c>
      <c r="P1" s="1" t="s">
        <v>108</v>
      </c>
      <c r="Q1" s="1" t="s">
        <v>6</v>
      </c>
      <c r="R1" s="1" t="s">
        <v>15</v>
      </c>
      <c r="S1" s="1" t="s">
        <v>16</v>
      </c>
      <c r="T1" s="6"/>
    </row>
    <row r="2">
      <c r="A2" s="7"/>
      <c r="B2" s="41"/>
      <c r="C2" s="16"/>
      <c r="D2" s="3"/>
      <c r="E2" s="42"/>
      <c r="F2" s="9"/>
      <c r="G2" s="6"/>
      <c r="H2" s="8"/>
      <c r="I2" s="9"/>
      <c r="J2" s="6"/>
      <c r="K2" s="43"/>
      <c r="L2" s="25"/>
      <c r="M2" s="9"/>
      <c r="N2" s="9"/>
      <c r="O2" s="6"/>
      <c r="P2" s="6"/>
      <c r="Q2" s="9"/>
      <c r="R2" s="9"/>
      <c r="S2" s="9"/>
      <c r="T2" s="6"/>
      <c r="U2" s="16"/>
    </row>
    <row r="3">
      <c r="A3" s="44" t="s">
        <v>109</v>
      </c>
      <c r="B3" s="45"/>
      <c r="C3" s="46"/>
      <c r="D3" s="44">
        <v>2025.0</v>
      </c>
      <c r="E3" s="47"/>
      <c r="F3" s="48" t="s">
        <v>110</v>
      </c>
      <c r="G3" s="49"/>
      <c r="H3" s="50" t="s">
        <v>29</v>
      </c>
      <c r="I3" s="48"/>
      <c r="J3" s="49"/>
      <c r="K3" s="51"/>
      <c r="L3" s="52"/>
      <c r="M3" s="48"/>
      <c r="N3" s="48" t="s">
        <v>21</v>
      </c>
      <c r="O3" s="49"/>
      <c r="P3" s="49"/>
      <c r="Q3" s="48"/>
      <c r="R3" s="48"/>
      <c r="S3" s="48"/>
      <c r="T3" s="6"/>
      <c r="U3" s="16"/>
    </row>
    <row r="4">
      <c r="A4" s="7">
        <v>45778.0</v>
      </c>
      <c r="B4" s="41"/>
      <c r="C4" s="16"/>
      <c r="D4" s="3">
        <v>2025.0</v>
      </c>
      <c r="E4" s="42"/>
      <c r="F4" s="9" t="s">
        <v>33</v>
      </c>
      <c r="G4" s="6"/>
      <c r="H4" s="8" t="s">
        <v>29</v>
      </c>
      <c r="I4" s="9">
        <v>30.0</v>
      </c>
      <c r="J4" s="6"/>
      <c r="K4" s="43"/>
      <c r="L4" s="25">
        <v>1742.0</v>
      </c>
      <c r="M4" s="9"/>
      <c r="N4" s="9" t="s">
        <v>111</v>
      </c>
      <c r="O4" s="6"/>
      <c r="P4" s="6"/>
      <c r="Q4" s="9" t="s">
        <v>33</v>
      </c>
      <c r="R4" s="9" t="s">
        <v>22</v>
      </c>
      <c r="S4" s="9" t="s">
        <v>35</v>
      </c>
      <c r="T4" s="6"/>
      <c r="U4" s="16"/>
    </row>
    <row r="5">
      <c r="A5" s="7">
        <v>45813.0</v>
      </c>
      <c r="B5" s="41"/>
      <c r="C5" s="16"/>
      <c r="D5" s="3">
        <v>2025.0</v>
      </c>
      <c r="E5" s="42"/>
      <c r="F5" s="9" t="s">
        <v>112</v>
      </c>
      <c r="G5" s="6"/>
      <c r="H5" s="8" t="s">
        <v>29</v>
      </c>
      <c r="I5" s="9">
        <v>40.0</v>
      </c>
      <c r="J5" s="8">
        <f t="shared" ref="J5:J6" si="1">I5*6</f>
        <v>240</v>
      </c>
      <c r="K5" s="43"/>
      <c r="L5" s="22">
        <f>J5*11.5*1.21</f>
        <v>3339.6</v>
      </c>
      <c r="M5" s="8"/>
      <c r="N5" s="8" t="s">
        <v>111</v>
      </c>
      <c r="O5" s="6"/>
      <c r="P5" s="6"/>
      <c r="Q5" s="9" t="s">
        <v>112</v>
      </c>
      <c r="R5" s="9" t="s">
        <v>22</v>
      </c>
      <c r="S5" s="9" t="s">
        <v>113</v>
      </c>
    </row>
    <row r="6">
      <c r="A6" s="14">
        <v>45813.0</v>
      </c>
      <c r="B6" s="53">
        <v>6.0</v>
      </c>
      <c r="C6" s="16">
        <f>WEEKNUM((A6))</f>
        <v>23</v>
      </c>
      <c r="D6" s="17">
        <v>2025.0</v>
      </c>
      <c r="E6" s="13"/>
      <c r="F6" s="9" t="s">
        <v>114</v>
      </c>
      <c r="G6" s="13"/>
      <c r="H6" s="13" t="s">
        <v>29</v>
      </c>
      <c r="I6" s="54">
        <v>30.0</v>
      </c>
      <c r="J6" s="55">
        <f t="shared" si="1"/>
        <v>180</v>
      </c>
      <c r="K6" s="56"/>
      <c r="L6" s="57">
        <f>J6*11.2*1.21</f>
        <v>2439.36</v>
      </c>
      <c r="M6" s="13"/>
      <c r="N6" s="13" t="s">
        <v>111</v>
      </c>
      <c r="O6" s="13"/>
      <c r="P6" s="13"/>
      <c r="Q6" s="19" t="s">
        <v>112</v>
      </c>
      <c r="R6" s="19" t="s">
        <v>22</v>
      </c>
      <c r="S6" s="6" t="s">
        <v>113</v>
      </c>
      <c r="T6" s="13"/>
      <c r="U6" s="13"/>
      <c r="V6" s="13"/>
      <c r="W6" s="13"/>
      <c r="X6" s="13"/>
    </row>
    <row r="7">
      <c r="A7" s="7"/>
      <c r="C7" s="16"/>
      <c r="D7" s="3"/>
      <c r="F7" s="9"/>
      <c r="I7" s="10"/>
      <c r="L7" s="22"/>
      <c r="Q7" s="9"/>
      <c r="R7" s="9"/>
      <c r="T7" s="6"/>
      <c r="U7" s="16"/>
    </row>
    <row r="8">
      <c r="A8" s="7"/>
      <c r="C8" s="16"/>
      <c r="D8" s="3"/>
      <c r="F8" s="9"/>
      <c r="I8" s="10"/>
      <c r="L8" s="22"/>
      <c r="Q8" s="9"/>
      <c r="R8" s="9"/>
      <c r="T8" s="6"/>
      <c r="U8" s="16"/>
    </row>
    <row r="9">
      <c r="A9" s="7"/>
      <c r="C9" s="16"/>
      <c r="D9" s="3"/>
      <c r="F9" s="9"/>
      <c r="I9" s="10"/>
      <c r="L9" s="22"/>
      <c r="Q9" s="9"/>
      <c r="R9" s="9"/>
      <c r="T9" s="6"/>
      <c r="U9" s="16"/>
    </row>
    <row r="10">
      <c r="A10" s="7"/>
      <c r="C10" s="16"/>
      <c r="D10" s="3"/>
      <c r="F10" s="9"/>
      <c r="I10" s="10"/>
      <c r="L10" s="22"/>
      <c r="Q10" s="9"/>
      <c r="R10" s="9"/>
      <c r="T10" s="6"/>
      <c r="U10" s="16"/>
    </row>
    <row r="11">
      <c r="A11" s="7"/>
      <c r="C11" s="16"/>
      <c r="D11" s="3"/>
      <c r="F11" s="9"/>
      <c r="I11" s="10"/>
      <c r="L11" s="22"/>
      <c r="Q11" s="9"/>
      <c r="R11" s="9"/>
      <c r="T11" s="6"/>
      <c r="U11" s="16"/>
    </row>
    <row r="12">
      <c r="A12" s="7"/>
      <c r="C12" s="16"/>
      <c r="D12" s="3"/>
      <c r="F12" s="9"/>
      <c r="I12" s="10"/>
      <c r="L12" s="22"/>
      <c r="Q12" s="9"/>
      <c r="R12" s="9"/>
      <c r="T12" s="6"/>
      <c r="U12" s="16"/>
    </row>
    <row r="13">
      <c r="A13" s="7"/>
      <c r="C13" s="16"/>
      <c r="D13" s="3"/>
      <c r="F13" s="9"/>
      <c r="I13" s="10"/>
      <c r="L13" s="22"/>
      <c r="Q13" s="9"/>
      <c r="R13" s="9"/>
      <c r="T13" s="6"/>
      <c r="U13" s="16"/>
    </row>
    <row r="14">
      <c r="A14" s="7"/>
      <c r="C14" s="16"/>
      <c r="D14" s="3"/>
      <c r="F14" s="9"/>
      <c r="I14" s="10"/>
      <c r="L14" s="22"/>
      <c r="Q14" s="9"/>
      <c r="R14" s="9"/>
      <c r="T14" s="6"/>
      <c r="U14" s="16"/>
    </row>
    <row r="15">
      <c r="A15" s="7"/>
      <c r="C15" s="16"/>
      <c r="D15" s="3"/>
      <c r="F15" s="9"/>
      <c r="I15" s="10"/>
      <c r="L15" s="22"/>
      <c r="Q15" s="9"/>
      <c r="R15" s="9"/>
      <c r="T15" s="6"/>
      <c r="U15" s="16"/>
    </row>
    <row r="16">
      <c r="A16" s="7"/>
      <c r="C16" s="16"/>
      <c r="D16" s="3"/>
      <c r="F16" s="9"/>
      <c r="I16" s="10"/>
      <c r="L16" s="22"/>
      <c r="Q16" s="9"/>
      <c r="R16" s="9"/>
      <c r="T16" s="6"/>
      <c r="U16" s="16"/>
    </row>
    <row r="17">
      <c r="A17" s="7"/>
      <c r="C17" s="16"/>
      <c r="D17" s="3"/>
      <c r="F17" s="9"/>
      <c r="I17" s="10"/>
      <c r="L17" s="22"/>
      <c r="Q17" s="9"/>
      <c r="R17" s="9"/>
      <c r="T17" s="6"/>
      <c r="U17" s="16"/>
    </row>
    <row r="18">
      <c r="A18" s="7"/>
      <c r="C18" s="16"/>
      <c r="D18" s="3"/>
      <c r="F18" s="9"/>
      <c r="I18" s="10"/>
      <c r="L18" s="22"/>
      <c r="Q18" s="9"/>
      <c r="R18" s="9"/>
      <c r="T18" s="6"/>
      <c r="U18" s="16"/>
    </row>
    <row r="19">
      <c r="A19" s="7"/>
      <c r="C19" s="16"/>
      <c r="D19" s="3"/>
      <c r="F19" s="9"/>
      <c r="I19" s="30"/>
      <c r="L19" s="22"/>
      <c r="Q19" s="9"/>
      <c r="R19" s="9"/>
      <c r="T19" s="6"/>
      <c r="U19" s="16"/>
    </row>
    <row r="20">
      <c r="A20" s="7"/>
      <c r="C20" s="16"/>
      <c r="D20" s="3"/>
      <c r="F20" s="9"/>
      <c r="I20" s="10"/>
      <c r="L20" s="22"/>
      <c r="Q20" s="9"/>
      <c r="R20" s="9"/>
      <c r="T20" s="6"/>
      <c r="U20" s="16"/>
    </row>
    <row r="21">
      <c r="A21" s="7"/>
      <c r="C21" s="16"/>
      <c r="D21" s="3"/>
      <c r="F21" s="9"/>
      <c r="I21" s="10"/>
      <c r="L21" s="22"/>
      <c r="Q21" s="9"/>
      <c r="R21" s="9"/>
      <c r="T21" s="6"/>
      <c r="U21" s="16"/>
    </row>
    <row r="22">
      <c r="A22" s="7"/>
      <c r="C22" s="16"/>
      <c r="D22" s="3"/>
      <c r="F22" s="9"/>
      <c r="I22" s="30"/>
      <c r="L22" s="22"/>
      <c r="Q22" s="9"/>
      <c r="R22" s="9"/>
      <c r="T22" s="6"/>
      <c r="U22" s="16"/>
    </row>
    <row r="23">
      <c r="A23" s="7"/>
      <c r="C23" s="16"/>
      <c r="D23" s="3"/>
      <c r="F23" s="9"/>
      <c r="I23" s="10"/>
      <c r="L23" s="22"/>
      <c r="Q23" s="9"/>
      <c r="R23" s="9"/>
      <c r="T23" s="6"/>
      <c r="U23" s="16"/>
    </row>
    <row r="24">
      <c r="A24" s="7"/>
      <c r="C24" s="16"/>
      <c r="D24" s="3"/>
      <c r="F24" s="9"/>
      <c r="I24" s="30"/>
      <c r="L24" s="22"/>
      <c r="Q24" s="9"/>
      <c r="R24" s="9"/>
      <c r="T24" s="6"/>
      <c r="U24" s="16"/>
    </row>
    <row r="25">
      <c r="A25" s="7"/>
      <c r="C25" s="16"/>
      <c r="D25" s="3"/>
      <c r="F25" s="9"/>
      <c r="I25" s="10"/>
      <c r="L25" s="22"/>
      <c r="Q25" s="9"/>
      <c r="R25" s="9"/>
      <c r="T25" s="6"/>
      <c r="U25" s="16"/>
    </row>
    <row r="26">
      <c r="A26" s="7"/>
      <c r="C26" s="16"/>
      <c r="D26" s="3"/>
      <c r="F26" s="9"/>
      <c r="I26" s="10"/>
      <c r="L26" s="22"/>
      <c r="Q26" s="9"/>
      <c r="R26" s="9"/>
      <c r="T26" s="6"/>
      <c r="U26" s="16"/>
    </row>
    <row r="27">
      <c r="A27" s="7"/>
      <c r="C27" s="16"/>
      <c r="D27" s="3"/>
      <c r="F27" s="9"/>
      <c r="I27" s="10"/>
      <c r="L27" s="22"/>
      <c r="Q27" s="9"/>
      <c r="R27" s="9"/>
      <c r="T27" s="6"/>
      <c r="U27" s="16"/>
    </row>
    <row r="28">
      <c r="A28" s="7"/>
      <c r="C28" s="16"/>
      <c r="D28" s="3"/>
      <c r="F28" s="9"/>
      <c r="I28" s="10"/>
      <c r="L28" s="22"/>
      <c r="Q28" s="9"/>
      <c r="R28" s="9"/>
      <c r="T28" s="6"/>
      <c r="U28" s="16"/>
    </row>
    <row r="29">
      <c r="A29" s="7"/>
      <c r="C29" s="16"/>
      <c r="D29" s="3"/>
      <c r="F29" s="9"/>
      <c r="I29" s="10"/>
      <c r="L29" s="22"/>
      <c r="Q29" s="9"/>
      <c r="R29" s="9"/>
      <c r="T29" s="6"/>
      <c r="U29" s="16"/>
    </row>
    <row r="30">
      <c r="A30" s="7"/>
      <c r="C30" s="16"/>
      <c r="D30" s="3"/>
      <c r="F30" s="9"/>
      <c r="I30" s="10"/>
      <c r="L30" s="22"/>
      <c r="Q30" s="9"/>
      <c r="R30" s="9"/>
      <c r="T30" s="6"/>
      <c r="U30" s="16"/>
    </row>
    <row r="31">
      <c r="A31" s="7"/>
      <c r="C31" s="16"/>
      <c r="D31" s="3"/>
      <c r="F31" s="9"/>
      <c r="I31" s="10"/>
      <c r="L31" s="22"/>
      <c r="Q31" s="9"/>
      <c r="R31" s="9"/>
      <c r="T31" s="6"/>
      <c r="U31" s="16"/>
    </row>
    <row r="32">
      <c r="A32" s="7"/>
      <c r="C32" s="16"/>
      <c r="D32" s="3"/>
      <c r="F32" s="9"/>
      <c r="I32" s="10"/>
      <c r="L32" s="22"/>
      <c r="Q32" s="9"/>
      <c r="R32" s="9"/>
      <c r="T32" s="6"/>
      <c r="U32" s="16"/>
    </row>
    <row r="33">
      <c r="A33" s="7"/>
      <c r="C33" s="16"/>
      <c r="D33" s="3"/>
      <c r="F33" s="9"/>
      <c r="I33" s="10"/>
      <c r="L33" s="22"/>
      <c r="Q33" s="9"/>
      <c r="R33" s="9"/>
      <c r="T33" s="6"/>
      <c r="U33" s="16"/>
    </row>
    <row r="34">
      <c r="A34" s="7"/>
      <c r="C34" s="16"/>
      <c r="D34" s="3"/>
      <c r="F34" s="9"/>
      <c r="I34" s="10"/>
      <c r="L34" s="22"/>
      <c r="Q34" s="9"/>
      <c r="R34" s="9"/>
      <c r="T34" s="6"/>
      <c r="U34" s="16"/>
    </row>
    <row r="35">
      <c r="A35" s="7"/>
      <c r="C35" s="16"/>
      <c r="D35" s="3"/>
      <c r="F35" s="9"/>
      <c r="I35" s="10"/>
      <c r="L35" s="22"/>
      <c r="Q35" s="9"/>
      <c r="R35" s="9"/>
      <c r="T35" s="6"/>
      <c r="U35" s="34"/>
    </row>
    <row r="36">
      <c r="A36" s="7"/>
      <c r="C36" s="16"/>
      <c r="D36" s="3"/>
      <c r="F36" s="9"/>
      <c r="I36" s="10"/>
      <c r="L36" s="22"/>
      <c r="Q36" s="9"/>
      <c r="R36" s="9"/>
      <c r="T36" s="6"/>
      <c r="U36" s="35"/>
    </row>
    <row r="37">
      <c r="A37" s="7"/>
      <c r="C37" s="16"/>
      <c r="D37" s="3"/>
      <c r="F37" s="9"/>
      <c r="I37" s="58"/>
      <c r="L37" s="22"/>
      <c r="Q37" s="9"/>
      <c r="R37" s="9"/>
      <c r="T37" s="6"/>
      <c r="U37" s="34"/>
    </row>
    <row r="38">
      <c r="A38" s="7"/>
      <c r="C38" s="16"/>
      <c r="D38" s="3"/>
      <c r="F38" s="9"/>
      <c r="I38" s="58"/>
      <c r="L38" s="22"/>
      <c r="Q38" s="9"/>
      <c r="R38" s="9"/>
    </row>
    <row r="39">
      <c r="A39" s="7"/>
      <c r="C39" s="16"/>
      <c r="D39" s="3"/>
      <c r="F39" s="9"/>
      <c r="I39" s="58"/>
      <c r="L39" s="22"/>
      <c r="Q39" s="9"/>
      <c r="R39" s="9"/>
    </row>
    <row r="40">
      <c r="A40" s="7"/>
      <c r="C40" s="16"/>
      <c r="D40" s="3"/>
      <c r="F40" s="9"/>
      <c r="I40" s="58"/>
      <c r="L40" s="22"/>
      <c r="Q40" s="9"/>
      <c r="R40" s="9"/>
    </row>
    <row r="41">
      <c r="A41" s="7"/>
      <c r="C41" s="16"/>
      <c r="D41" s="3"/>
      <c r="F41" s="9"/>
      <c r="I41" s="58"/>
      <c r="L41" s="22"/>
      <c r="Q41" s="9"/>
      <c r="R41" s="9"/>
    </row>
    <row r="42">
      <c r="A42" s="7"/>
      <c r="C42" s="16"/>
      <c r="D42" s="3"/>
      <c r="F42" s="9"/>
      <c r="I42" s="58"/>
      <c r="L42" s="22"/>
      <c r="Q42" s="9"/>
      <c r="R42" s="9"/>
    </row>
    <row r="43">
      <c r="A43" s="7"/>
      <c r="C43" s="16"/>
      <c r="D43" s="3"/>
      <c r="F43" s="9"/>
      <c r="I43" s="59"/>
      <c r="L43" s="22"/>
      <c r="Q43" s="9"/>
      <c r="R43" s="9"/>
    </row>
    <row r="44">
      <c r="A44" s="7"/>
      <c r="C44" s="16"/>
      <c r="D44" s="3"/>
      <c r="F44" s="9"/>
      <c r="I44" s="58"/>
      <c r="L44" s="22"/>
      <c r="Q44" s="9"/>
      <c r="R44" s="9"/>
    </row>
    <row r="45">
      <c r="A45" s="7"/>
      <c r="C45" s="16"/>
      <c r="D45" s="3"/>
      <c r="L45" s="22"/>
      <c r="R45" s="9"/>
    </row>
    <row r="46">
      <c r="A46" s="7"/>
      <c r="C46" s="16"/>
      <c r="D46" s="3"/>
      <c r="L46" s="22"/>
      <c r="R46" s="9"/>
    </row>
    <row r="47">
      <c r="A47" s="7"/>
      <c r="C47" s="16"/>
      <c r="D47" s="3"/>
      <c r="F47" s="9"/>
      <c r="I47" s="59"/>
      <c r="L47" s="22"/>
      <c r="Q47" s="9"/>
      <c r="R47" s="9"/>
    </row>
    <row r="48">
      <c r="A48" s="7"/>
      <c r="C48" s="16"/>
      <c r="D48" s="3"/>
      <c r="L48" s="22"/>
      <c r="R48" s="9"/>
    </row>
    <row r="49">
      <c r="A49" s="7"/>
      <c r="C49" s="16"/>
      <c r="D49" s="3"/>
      <c r="L49" s="22"/>
      <c r="R49" s="9"/>
    </row>
    <row r="50">
      <c r="A50" s="7"/>
      <c r="B50" s="41"/>
      <c r="C50" s="16"/>
      <c r="D50" s="3"/>
      <c r="E50" s="42"/>
      <c r="F50" s="9"/>
      <c r="G50" s="6"/>
      <c r="H50" s="6"/>
      <c r="I50" s="9"/>
      <c r="J50" s="6"/>
      <c r="K50" s="43"/>
      <c r="L50" s="22"/>
      <c r="O50" s="6"/>
      <c r="P50" s="6"/>
      <c r="Q50" s="9"/>
      <c r="R50" s="9"/>
      <c r="S50" s="9"/>
    </row>
    <row r="51">
      <c r="A51" s="7"/>
      <c r="C51" s="16"/>
      <c r="D51" s="3"/>
      <c r="F51" s="9"/>
      <c r="I51" s="59"/>
      <c r="L51" s="22"/>
      <c r="Q51" s="9"/>
      <c r="R51" s="9"/>
    </row>
    <row r="52">
      <c r="A52" s="7"/>
      <c r="C52" s="16"/>
      <c r="D52" s="3"/>
      <c r="F52" s="9"/>
      <c r="I52" s="10"/>
      <c r="L52" s="22"/>
      <c r="Q52" s="9"/>
      <c r="R52" s="9"/>
    </row>
    <row r="53">
      <c r="A53" s="7"/>
      <c r="C53" s="16"/>
      <c r="D53" s="3"/>
      <c r="F53" s="9"/>
      <c r="I53" s="10"/>
      <c r="L53" s="22"/>
      <c r="Q53" s="9"/>
      <c r="R53" s="9"/>
    </row>
  </sheetData>
  <autoFilter ref="$A$1:$S$53">
    <sortState ref="A1:S53">
      <sortCondition ref="N1:N53"/>
      <sortCondition descending="1" ref="A1:A53"/>
      <sortCondition descending="1" ref="C1:C53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0.0"/>
    <col customWidth="1" min="2" max="2" width="21.0"/>
    <col customWidth="1" min="3" max="3" width="15.25"/>
    <col customWidth="1" min="4" max="19" width="9.0"/>
  </cols>
  <sheetData>
    <row r="1">
      <c r="A1" s="6"/>
      <c r="B1" s="6"/>
      <c r="C1" s="6"/>
      <c r="D1" s="60" t="s">
        <v>115</v>
      </c>
      <c r="E1" s="60"/>
      <c r="F1" s="60"/>
      <c r="G1" s="60"/>
      <c r="H1" s="61"/>
      <c r="I1" s="61"/>
      <c r="J1" s="61"/>
      <c r="K1" s="61"/>
      <c r="L1" s="61"/>
      <c r="M1" s="61"/>
      <c r="N1" s="6"/>
      <c r="O1" s="6"/>
      <c r="P1" s="6"/>
      <c r="Q1" s="9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6"/>
      <c r="B2" s="6"/>
      <c r="C2" s="6"/>
      <c r="D2" s="62"/>
      <c r="E2" s="62">
        <v>2025.0</v>
      </c>
      <c r="F2" s="62"/>
      <c r="G2" s="62"/>
      <c r="H2" s="63"/>
      <c r="I2" s="63"/>
      <c r="J2" s="63"/>
      <c r="K2" s="63"/>
      <c r="L2" s="63"/>
      <c r="M2" s="63"/>
      <c r="N2" s="63"/>
      <c r="O2" s="63"/>
      <c r="P2" s="63"/>
      <c r="Q2" s="64" t="s">
        <v>25</v>
      </c>
      <c r="R2" s="63"/>
      <c r="S2" s="63"/>
      <c r="T2" s="65"/>
      <c r="U2" s="6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67"/>
      <c r="B3" s="67"/>
      <c r="C3" s="68"/>
      <c r="D3" s="69" t="s">
        <v>116</v>
      </c>
      <c r="E3" s="69"/>
      <c r="F3" s="69" t="s">
        <v>117</v>
      </c>
      <c r="G3" s="69"/>
      <c r="H3" s="69" t="s">
        <v>118</v>
      </c>
      <c r="I3" s="69"/>
      <c r="J3" s="69" t="s">
        <v>119</v>
      </c>
      <c r="K3" s="69"/>
      <c r="L3" s="69" t="s">
        <v>120</v>
      </c>
      <c r="M3" s="69"/>
      <c r="N3" s="69" t="s">
        <v>121</v>
      </c>
      <c r="O3" s="69"/>
      <c r="P3" s="69" t="s">
        <v>122</v>
      </c>
      <c r="Q3" s="69"/>
      <c r="R3" s="69" t="s">
        <v>123</v>
      </c>
      <c r="S3" s="63"/>
      <c r="T3" s="70" t="s">
        <v>124</v>
      </c>
      <c r="U3" s="71" t="s">
        <v>125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6"/>
      <c r="B4" s="6"/>
      <c r="C4" s="68" t="s">
        <v>126</v>
      </c>
      <c r="D4" s="72" t="s">
        <v>127</v>
      </c>
      <c r="E4" s="73" t="s">
        <v>128</v>
      </c>
      <c r="F4" s="72" t="s">
        <v>127</v>
      </c>
      <c r="G4" s="73" t="s">
        <v>128</v>
      </c>
      <c r="H4" s="72" t="s">
        <v>127</v>
      </c>
      <c r="I4" s="73" t="s">
        <v>128</v>
      </c>
      <c r="J4" s="72" t="s">
        <v>127</v>
      </c>
      <c r="K4" s="73" t="s">
        <v>128</v>
      </c>
      <c r="L4" s="72" t="s">
        <v>127</v>
      </c>
      <c r="M4" s="73" t="s">
        <v>128</v>
      </c>
      <c r="N4" s="72" t="s">
        <v>127</v>
      </c>
      <c r="O4" s="73" t="s">
        <v>128</v>
      </c>
      <c r="P4" s="72" t="s">
        <v>127</v>
      </c>
      <c r="Q4" s="73" t="s">
        <v>128</v>
      </c>
      <c r="R4" s="72" t="s">
        <v>127</v>
      </c>
      <c r="S4" s="73" t="s">
        <v>128</v>
      </c>
      <c r="T4" s="74"/>
      <c r="U4" s="75" t="s">
        <v>129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>
      <c r="A5" s="76" t="s">
        <v>130</v>
      </c>
      <c r="B5" s="9" t="s">
        <v>131</v>
      </c>
      <c r="C5" s="77" t="s">
        <v>132</v>
      </c>
      <c r="D5" s="78"/>
      <c r="E5" s="79">
        <v>0.0</v>
      </c>
      <c r="F5" s="78"/>
      <c r="G5" s="79">
        <v>0.0</v>
      </c>
      <c r="H5" s="78"/>
      <c r="I5" s="79">
        <v>13760.0</v>
      </c>
      <c r="J5" s="78"/>
      <c r="K5" s="79">
        <v>13760.0</v>
      </c>
      <c r="L5" s="78"/>
      <c r="M5" s="79">
        <v>22000.0</v>
      </c>
      <c r="N5" s="78"/>
      <c r="O5" s="79">
        <v>26400.0</v>
      </c>
      <c r="P5" s="78"/>
      <c r="Q5" s="79">
        <v>31680.0</v>
      </c>
      <c r="R5" s="78"/>
      <c r="S5" s="79">
        <v>38016.0</v>
      </c>
      <c r="T5" s="80">
        <f t="shared" ref="T5:U5" si="1">R5+P5+N5+L5+J5+H5+F5+D5</f>
        <v>0</v>
      </c>
      <c r="U5" s="81">
        <f t="shared" si="1"/>
        <v>145616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>
      <c r="A6" s="82"/>
      <c r="B6" s="9" t="s">
        <v>113</v>
      </c>
      <c r="C6" s="77" t="s">
        <v>132</v>
      </c>
      <c r="D6" s="83"/>
      <c r="E6" s="79">
        <v>0.0</v>
      </c>
      <c r="F6" s="83"/>
      <c r="G6" s="79">
        <v>0.0</v>
      </c>
      <c r="H6" s="83"/>
      <c r="I6" s="79">
        <v>0.0</v>
      </c>
      <c r="J6" s="83"/>
      <c r="K6" s="79">
        <v>0.0</v>
      </c>
      <c r="L6" s="83"/>
      <c r="M6" s="79">
        <v>0.0</v>
      </c>
      <c r="N6" s="83"/>
      <c r="O6" s="79">
        <v>0.0</v>
      </c>
      <c r="P6" s="83"/>
      <c r="Q6" s="79">
        <v>0.0</v>
      </c>
      <c r="R6" s="83"/>
      <c r="S6" s="79">
        <v>0.0</v>
      </c>
      <c r="T6" s="80">
        <f t="shared" ref="T6:U6" si="2">R6+P6+N6+L6+J6+H6+F6+D6</f>
        <v>0</v>
      </c>
      <c r="U6" s="81">
        <f t="shared" si="2"/>
        <v>0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>
      <c r="A7" s="84"/>
      <c r="B7" s="85" t="s">
        <v>133</v>
      </c>
      <c r="C7" s="86" t="s">
        <v>132</v>
      </c>
      <c r="D7" s="87"/>
      <c r="E7" s="88">
        <v>0.0</v>
      </c>
      <c r="F7" s="87"/>
      <c r="G7" s="88">
        <v>0.0</v>
      </c>
      <c r="H7" s="87"/>
      <c r="I7" s="88">
        <v>0.0</v>
      </c>
      <c r="J7" s="87"/>
      <c r="K7" s="88">
        <v>0.0</v>
      </c>
      <c r="L7" s="87"/>
      <c r="M7" s="88">
        <v>0.0</v>
      </c>
      <c r="N7" s="87"/>
      <c r="O7" s="88">
        <v>0.0</v>
      </c>
      <c r="P7" s="87"/>
      <c r="Q7" s="88">
        <v>0.0</v>
      </c>
      <c r="R7" s="87"/>
      <c r="S7" s="88">
        <v>0.0</v>
      </c>
      <c r="T7" s="80">
        <f t="shared" ref="T7:U7" si="3">R7+P7+N7+L7+J7+H7+F7+D7</f>
        <v>0</v>
      </c>
      <c r="U7" s="81">
        <f t="shared" si="3"/>
        <v>0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89"/>
      <c r="B8" s="90" t="s">
        <v>125</v>
      </c>
      <c r="C8" s="91" t="s">
        <v>132</v>
      </c>
      <c r="D8" s="92">
        <v>1775.87</v>
      </c>
      <c r="E8" s="93">
        <f>sum(E5:E7)</f>
        <v>0</v>
      </c>
      <c r="F8" s="92">
        <v>1825.25</v>
      </c>
      <c r="G8" s="93">
        <f>sum(G5:G7)</f>
        <v>0</v>
      </c>
      <c r="H8" s="92">
        <v>5715.67</v>
      </c>
      <c r="I8" s="93">
        <f>sum(I5:I7)</f>
        <v>13760</v>
      </c>
      <c r="J8" s="92">
        <v>2735.1</v>
      </c>
      <c r="K8" s="93">
        <f>sum(K5:K7)</f>
        <v>13760</v>
      </c>
      <c r="L8" s="92">
        <v>20625.0</v>
      </c>
      <c r="M8" s="93">
        <f>sum(M5:M7)</f>
        <v>22000</v>
      </c>
      <c r="N8" s="94"/>
      <c r="O8" s="93">
        <f>sum(O5:O7)</f>
        <v>26400</v>
      </c>
      <c r="P8" s="94"/>
      <c r="Q8" s="93">
        <f>sum(Q5:Q7)</f>
        <v>31680</v>
      </c>
      <c r="R8" s="94"/>
      <c r="S8" s="93">
        <f>sum(S5:S7)</f>
        <v>38016</v>
      </c>
      <c r="T8" s="95">
        <f t="shared" ref="T8:U8" si="4">R8+P8+N8+L8+J8+H8+F8+D8</f>
        <v>32676.89</v>
      </c>
      <c r="U8" s="96">
        <f t="shared" si="4"/>
        <v>145616</v>
      </c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</row>
    <row r="9">
      <c r="A9" s="82"/>
      <c r="B9" s="6"/>
      <c r="C9" s="6"/>
      <c r="D9" s="83"/>
      <c r="E9" s="98"/>
      <c r="F9" s="83"/>
      <c r="G9" s="98"/>
      <c r="H9" s="83"/>
      <c r="I9" s="98"/>
      <c r="J9" s="83"/>
      <c r="K9" s="98"/>
      <c r="L9" s="83"/>
      <c r="M9" s="98"/>
      <c r="N9" s="83"/>
      <c r="O9" s="98"/>
      <c r="P9" s="83"/>
      <c r="Q9" s="98"/>
      <c r="R9" s="83"/>
      <c r="S9" s="98"/>
      <c r="T9" s="80"/>
      <c r="U9" s="81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>
      <c r="A10" s="76" t="s">
        <v>134</v>
      </c>
      <c r="B10" s="6"/>
      <c r="C10" s="77" t="s">
        <v>135</v>
      </c>
      <c r="D10" s="83"/>
      <c r="E10" s="98"/>
      <c r="F10" s="83"/>
      <c r="G10" s="98"/>
      <c r="H10" s="83"/>
      <c r="I10" s="98"/>
      <c r="J10" s="83"/>
      <c r="K10" s="98"/>
      <c r="L10" s="83"/>
      <c r="M10" s="98"/>
      <c r="N10" s="83"/>
      <c r="O10" s="98"/>
      <c r="P10" s="83"/>
      <c r="Q10" s="98"/>
      <c r="R10" s="83"/>
      <c r="S10" s="98"/>
      <c r="T10" s="80"/>
      <c r="U10" s="81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>
      <c r="A11" s="82"/>
      <c r="B11" s="85" t="s">
        <v>136</v>
      </c>
      <c r="C11" s="86" t="s">
        <v>137</v>
      </c>
      <c r="D11" s="99"/>
      <c r="E11" s="100">
        <v>0.0</v>
      </c>
      <c r="F11" s="99"/>
      <c r="G11" s="100">
        <v>0.0</v>
      </c>
      <c r="H11" s="99"/>
      <c r="I11" s="100">
        <v>0.0</v>
      </c>
      <c r="J11" s="99"/>
      <c r="K11" s="100">
        <v>0.0</v>
      </c>
      <c r="L11" s="99"/>
      <c r="M11" s="100">
        <v>0.0</v>
      </c>
      <c r="N11" s="99"/>
      <c r="O11" s="100">
        <v>120.0</v>
      </c>
      <c r="P11" s="99"/>
      <c r="Q11" s="100">
        <v>240.0</v>
      </c>
      <c r="R11" s="99"/>
      <c r="S11" s="100">
        <v>240.0</v>
      </c>
      <c r="T11" s="101">
        <f t="shared" ref="T11:U11" si="5">R11+P11+N11+L11+J11+H11+F11+D11</f>
        <v>0</v>
      </c>
      <c r="U11" s="102">
        <f t="shared" si="5"/>
        <v>600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82"/>
      <c r="B12" s="9"/>
      <c r="C12" s="77" t="s">
        <v>138</v>
      </c>
      <c r="D12" s="103"/>
      <c r="E12" s="104"/>
      <c r="F12" s="103"/>
      <c r="G12" s="104"/>
      <c r="H12" s="103"/>
      <c r="I12" s="104"/>
      <c r="J12" s="103"/>
      <c r="K12" s="104"/>
      <c r="L12" s="103"/>
      <c r="M12" s="104"/>
      <c r="N12" s="103"/>
      <c r="O12" s="104">
        <f>O11*6</f>
        <v>720</v>
      </c>
      <c r="P12" s="103"/>
      <c r="Q12" s="104">
        <f>Q11*6</f>
        <v>1440</v>
      </c>
      <c r="R12" s="103"/>
      <c r="S12" s="104"/>
      <c r="T12" s="105"/>
      <c r="U12" s="10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82"/>
      <c r="B13" s="85" t="s">
        <v>139</v>
      </c>
      <c r="C13" s="86" t="s">
        <v>137</v>
      </c>
      <c r="D13" s="99"/>
      <c r="E13" s="100">
        <v>0.0</v>
      </c>
      <c r="F13" s="99"/>
      <c r="G13" s="100">
        <v>0.0</v>
      </c>
      <c r="H13" s="99"/>
      <c r="I13" s="100">
        <v>0.0</v>
      </c>
      <c r="J13" s="99"/>
      <c r="K13" s="100">
        <v>0.0</v>
      </c>
      <c r="L13" s="99"/>
      <c r="M13" s="100">
        <v>0.0</v>
      </c>
      <c r="N13" s="99"/>
      <c r="O13" s="100">
        <v>120.0</v>
      </c>
      <c r="P13" s="99"/>
      <c r="Q13" s="100">
        <v>240.0</v>
      </c>
      <c r="R13" s="99"/>
      <c r="S13" s="100">
        <v>240.0</v>
      </c>
      <c r="T13" s="101">
        <f t="shared" ref="T13:U13" si="6">R13+P13+N13+L13+J13+H13+F13+D13</f>
        <v>0</v>
      </c>
      <c r="U13" s="102">
        <f t="shared" si="6"/>
        <v>600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>
      <c r="A14" s="82"/>
      <c r="B14" s="9"/>
      <c r="C14" s="77" t="s">
        <v>138</v>
      </c>
      <c r="D14" s="103"/>
      <c r="E14" s="104"/>
      <c r="F14" s="103"/>
      <c r="G14" s="104"/>
      <c r="H14" s="103"/>
      <c r="I14" s="104"/>
      <c r="J14" s="103"/>
      <c r="K14" s="104"/>
      <c r="L14" s="103"/>
      <c r="M14" s="104"/>
      <c r="N14" s="103"/>
      <c r="O14" s="104">
        <f>O13*6</f>
        <v>720</v>
      </c>
      <c r="P14" s="103"/>
      <c r="Q14" s="104">
        <f>Q13*6</f>
        <v>1440</v>
      </c>
      <c r="R14" s="103"/>
      <c r="S14" s="104"/>
      <c r="T14" s="105"/>
      <c r="U14" s="10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>
      <c r="A15" s="107"/>
      <c r="B15" s="85" t="s">
        <v>140</v>
      </c>
      <c r="C15" s="86" t="s">
        <v>137</v>
      </c>
      <c r="D15" s="108"/>
      <c r="E15" s="109">
        <v>0.0</v>
      </c>
      <c r="F15" s="108"/>
      <c r="G15" s="109">
        <v>0.0</v>
      </c>
      <c r="H15" s="108"/>
      <c r="I15" s="100">
        <v>0.0</v>
      </c>
      <c r="J15" s="108"/>
      <c r="K15" s="100">
        <v>0.0</v>
      </c>
      <c r="L15" s="108"/>
      <c r="M15" s="100">
        <v>0.0</v>
      </c>
      <c r="N15" s="108"/>
      <c r="O15" s="110">
        <v>20.0</v>
      </c>
      <c r="P15" s="108"/>
      <c r="Q15" s="110">
        <v>30.0</v>
      </c>
      <c r="R15" s="108"/>
      <c r="S15" s="110">
        <v>30.0</v>
      </c>
      <c r="T15" s="111">
        <f t="shared" ref="T15:U15" si="7">R15+P15+N15+L15+J15+H15+F15+D15</f>
        <v>0</v>
      </c>
      <c r="U15" s="112">
        <f t="shared" si="7"/>
        <v>80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82"/>
      <c r="B16" s="9"/>
      <c r="C16" s="77" t="s">
        <v>138</v>
      </c>
      <c r="D16" s="103"/>
      <c r="E16" s="104"/>
      <c r="F16" s="103"/>
      <c r="G16" s="104"/>
      <c r="H16" s="103"/>
      <c r="I16" s="104"/>
      <c r="J16" s="103"/>
      <c r="K16" s="104"/>
      <c r="L16" s="103"/>
      <c r="M16" s="104"/>
      <c r="N16" s="103"/>
      <c r="O16" s="104">
        <f>O15*6</f>
        <v>120</v>
      </c>
      <c r="P16" s="103"/>
      <c r="Q16" s="104">
        <f>Q15*6</f>
        <v>180</v>
      </c>
      <c r="R16" s="103"/>
      <c r="S16" s="104"/>
      <c r="T16" s="105"/>
      <c r="U16" s="10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>
      <c r="A17" s="107"/>
      <c r="B17" s="85" t="s">
        <v>112</v>
      </c>
      <c r="C17" s="86" t="s">
        <v>137</v>
      </c>
      <c r="D17" s="108"/>
      <c r="E17" s="109">
        <v>0.0</v>
      </c>
      <c r="F17" s="108"/>
      <c r="G17" s="109">
        <v>0.0</v>
      </c>
      <c r="H17" s="108"/>
      <c r="I17" s="109">
        <v>0.0</v>
      </c>
      <c r="J17" s="108"/>
      <c r="K17" s="109">
        <v>0.0</v>
      </c>
      <c r="L17" s="108"/>
      <c r="M17" s="109">
        <v>0.0</v>
      </c>
      <c r="N17" s="108"/>
      <c r="O17" s="110">
        <v>40.0</v>
      </c>
      <c r="P17" s="108"/>
      <c r="Q17" s="110">
        <v>40.0</v>
      </c>
      <c r="R17" s="108"/>
      <c r="S17" s="110">
        <v>40.0</v>
      </c>
      <c r="T17" s="111">
        <f t="shared" ref="T17:U17" si="8">R17+P17+N17+L17+J17+H17+F17+D17</f>
        <v>0</v>
      </c>
      <c r="U17" s="112">
        <f t="shared" si="8"/>
        <v>120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82"/>
      <c r="B18" s="9"/>
      <c r="C18" s="77" t="s">
        <v>138</v>
      </c>
      <c r="D18" s="113"/>
      <c r="E18" s="104"/>
      <c r="F18" s="113"/>
      <c r="G18" s="104"/>
      <c r="H18" s="113"/>
      <c r="I18" s="104"/>
      <c r="J18" s="113"/>
      <c r="K18" s="104"/>
      <c r="L18" s="113"/>
      <c r="M18" s="104"/>
      <c r="N18" s="113"/>
      <c r="O18" s="104">
        <f>O17*6</f>
        <v>240</v>
      </c>
      <c r="P18" s="113"/>
      <c r="Q18" s="104">
        <f>Q17*6</f>
        <v>240</v>
      </c>
      <c r="R18" s="113"/>
      <c r="S18" s="104"/>
      <c r="T18" s="105"/>
      <c r="U18" s="10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B19" s="85" t="s">
        <v>110</v>
      </c>
      <c r="C19" s="86" t="s">
        <v>137</v>
      </c>
      <c r="D19" s="108"/>
      <c r="E19" s="109">
        <v>0.0</v>
      </c>
      <c r="F19" s="108"/>
      <c r="G19" s="109">
        <v>0.0</v>
      </c>
      <c r="H19" s="108"/>
      <c r="I19" s="109">
        <v>0.0</v>
      </c>
      <c r="J19" s="108"/>
      <c r="K19" s="109">
        <v>0.0</v>
      </c>
      <c r="L19" s="108"/>
      <c r="M19" s="109">
        <v>0.0</v>
      </c>
      <c r="N19" s="108"/>
      <c r="O19" s="110">
        <v>10.0</v>
      </c>
      <c r="P19" s="108"/>
      <c r="Q19" s="110">
        <v>10.0</v>
      </c>
      <c r="R19" s="108"/>
      <c r="S19" s="110">
        <v>10.0</v>
      </c>
      <c r="T19" s="111">
        <f t="shared" ref="T19:U19" si="9">R19+P19+N19+L19+J19+H19+F19+D19</f>
        <v>0</v>
      </c>
      <c r="U19" s="112">
        <f t="shared" si="9"/>
        <v>30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82"/>
      <c r="B20" s="9"/>
      <c r="C20" s="77" t="s">
        <v>138</v>
      </c>
      <c r="D20" s="113"/>
      <c r="E20" s="104"/>
      <c r="F20" s="113"/>
      <c r="G20" s="104"/>
      <c r="H20" s="113"/>
      <c r="I20" s="104"/>
      <c r="J20" s="113"/>
      <c r="K20" s="104"/>
      <c r="L20" s="113"/>
      <c r="M20" s="104"/>
      <c r="N20" s="113"/>
      <c r="O20" s="104">
        <f>O19*6</f>
        <v>60</v>
      </c>
      <c r="P20" s="113"/>
      <c r="Q20" s="104">
        <f>Q19*6</f>
        <v>60</v>
      </c>
      <c r="R20" s="113"/>
      <c r="S20" s="104"/>
      <c r="T20" s="105"/>
      <c r="U20" s="10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>
      <c r="B21" s="85" t="s">
        <v>141</v>
      </c>
      <c r="C21" s="86" t="s">
        <v>137</v>
      </c>
      <c r="D21" s="108"/>
      <c r="E21" s="109">
        <v>0.0</v>
      </c>
      <c r="F21" s="108"/>
      <c r="G21" s="109">
        <v>0.0</v>
      </c>
      <c r="H21" s="108"/>
      <c r="I21" s="109">
        <v>0.0</v>
      </c>
      <c r="J21" s="108"/>
      <c r="K21" s="109">
        <v>0.0</v>
      </c>
      <c r="L21" s="108"/>
      <c r="M21" s="109">
        <v>0.0</v>
      </c>
      <c r="N21" s="108"/>
      <c r="O21" s="110">
        <v>20.0</v>
      </c>
      <c r="P21" s="108"/>
      <c r="Q21" s="110">
        <v>20.0</v>
      </c>
      <c r="R21" s="108"/>
      <c r="S21" s="110">
        <v>20.0</v>
      </c>
      <c r="T21" s="111">
        <f t="shared" ref="T21:U21" si="10">R21+P21+N21+L21+J21+H21+F21+D21</f>
        <v>0</v>
      </c>
      <c r="U21" s="112">
        <f t="shared" si="10"/>
        <v>60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82"/>
      <c r="B22" s="9"/>
      <c r="C22" s="77" t="s">
        <v>138</v>
      </c>
      <c r="D22" s="113"/>
      <c r="E22" s="104"/>
      <c r="F22" s="113"/>
      <c r="G22" s="104"/>
      <c r="H22" s="113"/>
      <c r="I22" s="104"/>
      <c r="J22" s="113"/>
      <c r="K22" s="104"/>
      <c r="L22" s="113"/>
      <c r="M22" s="104"/>
      <c r="N22" s="113"/>
      <c r="O22" s="104">
        <f>O21*6</f>
        <v>120</v>
      </c>
      <c r="P22" s="113"/>
      <c r="Q22" s="104">
        <f>Q21*6</f>
        <v>120</v>
      </c>
      <c r="R22" s="113"/>
      <c r="S22" s="104"/>
      <c r="T22" s="105"/>
      <c r="U22" s="10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>
      <c r="A23" s="107"/>
      <c r="B23" s="85" t="s">
        <v>131</v>
      </c>
      <c r="C23" s="86" t="s">
        <v>137</v>
      </c>
      <c r="D23" s="108"/>
      <c r="E23" s="109">
        <v>0.0</v>
      </c>
      <c r="F23" s="108"/>
      <c r="G23" s="109">
        <v>0.0</v>
      </c>
      <c r="H23" s="108"/>
      <c r="I23" s="109">
        <v>0.0</v>
      </c>
      <c r="J23" s="108"/>
      <c r="K23" s="109">
        <v>0.0</v>
      </c>
      <c r="L23" s="108"/>
      <c r="M23" s="109">
        <v>0.0</v>
      </c>
      <c r="N23" s="108"/>
      <c r="O23" s="110">
        <v>10.0</v>
      </c>
      <c r="P23" s="108"/>
      <c r="Q23" s="109">
        <v>0.0</v>
      </c>
      <c r="R23" s="108"/>
      <c r="S23" s="109">
        <v>0.0</v>
      </c>
      <c r="T23" s="111">
        <f t="shared" ref="T23:U23" si="11">R23+P23+N23+L23+J23+H23+F23+D23</f>
        <v>0</v>
      </c>
      <c r="U23" s="112">
        <f t="shared" si="11"/>
        <v>10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82"/>
      <c r="B24" s="9"/>
      <c r="C24" s="77" t="s">
        <v>138</v>
      </c>
      <c r="D24" s="113"/>
      <c r="E24" s="104"/>
      <c r="F24" s="113"/>
      <c r="G24" s="104"/>
      <c r="H24" s="113"/>
      <c r="I24" s="104"/>
      <c r="J24" s="113"/>
      <c r="K24" s="104"/>
      <c r="L24" s="113"/>
      <c r="M24" s="104"/>
      <c r="N24" s="113"/>
      <c r="O24" s="104">
        <f>O23*6</f>
        <v>60</v>
      </c>
      <c r="P24" s="113"/>
      <c r="Q24" s="104">
        <f>Q23*6</f>
        <v>0</v>
      </c>
      <c r="R24" s="113"/>
      <c r="S24" s="104"/>
      <c r="T24" s="105"/>
      <c r="U24" s="10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>
      <c r="A25" s="114"/>
      <c r="B25" s="115" t="s">
        <v>125</v>
      </c>
      <c r="C25" s="116" t="s">
        <v>142</v>
      </c>
      <c r="D25" s="117">
        <f t="shared" ref="D25:S25" si="12">D11+D13+D15+D17+D19+D21+D23</f>
        <v>0</v>
      </c>
      <c r="E25" s="117">
        <f t="shared" si="12"/>
        <v>0</v>
      </c>
      <c r="F25" s="117">
        <f t="shared" si="12"/>
        <v>0</v>
      </c>
      <c r="G25" s="117">
        <f t="shared" si="12"/>
        <v>0</v>
      </c>
      <c r="H25" s="117">
        <f t="shared" si="12"/>
        <v>0</v>
      </c>
      <c r="I25" s="117">
        <f t="shared" si="12"/>
        <v>0</v>
      </c>
      <c r="J25" s="117">
        <f t="shared" si="12"/>
        <v>0</v>
      </c>
      <c r="K25" s="117">
        <f t="shared" si="12"/>
        <v>0</v>
      </c>
      <c r="L25" s="117">
        <f t="shared" si="12"/>
        <v>0</v>
      </c>
      <c r="M25" s="117">
        <f t="shared" si="12"/>
        <v>0</v>
      </c>
      <c r="N25" s="117">
        <f t="shared" si="12"/>
        <v>0</v>
      </c>
      <c r="O25" s="117">
        <f t="shared" si="12"/>
        <v>340</v>
      </c>
      <c r="P25" s="117">
        <f t="shared" si="12"/>
        <v>0</v>
      </c>
      <c r="Q25" s="117">
        <f t="shared" si="12"/>
        <v>580</v>
      </c>
      <c r="R25" s="117">
        <f t="shared" si="12"/>
        <v>0</v>
      </c>
      <c r="S25" s="117">
        <f t="shared" si="12"/>
        <v>580</v>
      </c>
      <c r="T25" s="118">
        <f t="shared" ref="T25:T26" si="14">sum(T17:T18)</f>
        <v>0</v>
      </c>
      <c r="U25" s="119">
        <f t="shared" ref="U25:U26" si="15">S25+Q25+O25+M25+K25+I25+G25+E25</f>
        <v>1500</v>
      </c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</row>
    <row r="26">
      <c r="A26" s="114"/>
      <c r="B26" s="115" t="s">
        <v>125</v>
      </c>
      <c r="C26" s="116" t="s">
        <v>143</v>
      </c>
      <c r="D26" s="117">
        <f t="shared" ref="D26:S26" si="13">D12+D14+D16+D18+D20+D22+D24</f>
        <v>0</v>
      </c>
      <c r="E26" s="117">
        <f t="shared" si="13"/>
        <v>0</v>
      </c>
      <c r="F26" s="117">
        <f t="shared" si="13"/>
        <v>0</v>
      </c>
      <c r="G26" s="117">
        <f t="shared" si="13"/>
        <v>0</v>
      </c>
      <c r="H26" s="117">
        <f t="shared" si="13"/>
        <v>0</v>
      </c>
      <c r="I26" s="117">
        <f t="shared" si="13"/>
        <v>0</v>
      </c>
      <c r="J26" s="117">
        <f t="shared" si="13"/>
        <v>0</v>
      </c>
      <c r="K26" s="117">
        <f t="shared" si="13"/>
        <v>0</v>
      </c>
      <c r="L26" s="117">
        <f t="shared" si="13"/>
        <v>0</v>
      </c>
      <c r="M26" s="117">
        <f t="shared" si="13"/>
        <v>0</v>
      </c>
      <c r="N26" s="117">
        <f t="shared" si="13"/>
        <v>0</v>
      </c>
      <c r="O26" s="117">
        <f t="shared" si="13"/>
        <v>2040</v>
      </c>
      <c r="P26" s="117">
        <f t="shared" si="13"/>
        <v>0</v>
      </c>
      <c r="Q26" s="117">
        <f t="shared" si="13"/>
        <v>3480</v>
      </c>
      <c r="R26" s="117">
        <f t="shared" si="13"/>
        <v>0</v>
      </c>
      <c r="S26" s="117">
        <f t="shared" si="13"/>
        <v>0</v>
      </c>
      <c r="T26" s="118">
        <f t="shared" si="14"/>
        <v>0</v>
      </c>
      <c r="U26" s="119">
        <f t="shared" si="15"/>
        <v>5520</v>
      </c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</row>
    <row r="27">
      <c r="A27" s="6"/>
      <c r="B27" s="9"/>
      <c r="C27" s="9"/>
      <c r="D27" s="120"/>
      <c r="E27" s="120"/>
      <c r="F27" s="121"/>
      <c r="G27" s="120"/>
      <c r="H27" s="121"/>
      <c r="I27" s="120"/>
      <c r="J27" s="121"/>
      <c r="K27" s="120"/>
      <c r="L27" s="121"/>
      <c r="M27" s="120"/>
      <c r="N27" s="121"/>
      <c r="O27" s="120"/>
      <c r="P27" s="121"/>
      <c r="Q27" s="120"/>
      <c r="R27" s="121"/>
      <c r="S27" s="120"/>
      <c r="T27" s="121"/>
      <c r="U27" s="121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>
      <c r="A28" s="6"/>
      <c r="B28" s="9"/>
      <c r="C28" s="9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>
      <c r="A29" s="6"/>
      <c r="B29" s="9"/>
      <c r="C29" s="9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>
      <c r="A30" s="6"/>
      <c r="B30" s="9"/>
      <c r="C30" s="9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>
      <c r="A31" s="6"/>
      <c r="B31" s="9"/>
      <c r="C31" s="9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>
      <c r="A32" s="6"/>
      <c r="B32" s="9"/>
      <c r="C32" s="9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>
      <c r="A33" s="6"/>
      <c r="B33" s="9"/>
      <c r="C33" s="9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>
      <c r="A34" s="6"/>
      <c r="B34" s="9"/>
      <c r="C34" s="9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>
      <c r="A35" s="6"/>
      <c r="B35" s="9"/>
      <c r="C35" s="9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>
      <c r="A36" s="6"/>
      <c r="B36" s="9"/>
      <c r="C36" s="9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>
      <c r="A37" s="6"/>
      <c r="B37" s="9"/>
      <c r="C37" s="9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>
      <c r="A38" s="6"/>
      <c r="B38" s="9"/>
      <c r="C38" s="9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>
      <c r="A39" s="6"/>
      <c r="B39" s="9"/>
      <c r="C39" s="9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>
      <c r="A40" s="6"/>
      <c r="B40" s="9"/>
      <c r="C40" s="9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>
      <c r="A41" s="6"/>
      <c r="B41" s="9"/>
      <c r="C41" s="9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>
      <c r="A42" s="6"/>
      <c r="B42" s="9"/>
      <c r="C42" s="9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>
      <c r="A43" s="6"/>
      <c r="B43" s="9"/>
      <c r="C43" s="9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97"/>
      <c r="U44" s="9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97"/>
      <c r="U45" s="9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97"/>
      <c r="U46" s="9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97"/>
      <c r="U47" s="9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97"/>
      <c r="U48" s="9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97"/>
      <c r="U49" s="9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97"/>
      <c r="U50" s="9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97"/>
      <c r="U51" s="9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97"/>
      <c r="U52" s="9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97"/>
      <c r="U53" s="9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97"/>
      <c r="U54" s="97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97"/>
      <c r="U55" s="97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97"/>
      <c r="U56" s="97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97"/>
      <c r="U57" s="97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97"/>
      <c r="U58" s="97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97"/>
      <c r="U59" s="97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97"/>
      <c r="U60" s="97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97"/>
      <c r="U61" s="97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97"/>
      <c r="U62" s="97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97"/>
      <c r="U63" s="97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97"/>
      <c r="U64" s="97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97"/>
      <c r="U65" s="97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97"/>
      <c r="U66" s="97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97"/>
      <c r="U67" s="97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97"/>
      <c r="U68" s="97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97"/>
      <c r="U69" s="97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97"/>
      <c r="U70" s="97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97"/>
      <c r="U71" s="97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97"/>
      <c r="U72" s="97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97"/>
      <c r="U73" s="97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97"/>
      <c r="U74" s="97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97"/>
      <c r="U75" s="97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97"/>
      <c r="U76" s="97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97"/>
      <c r="U77" s="97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97"/>
      <c r="U78" s="97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97"/>
      <c r="U79" s="97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97"/>
      <c r="U80" s="97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97"/>
      <c r="U81" s="97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97"/>
      <c r="U82" s="97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97"/>
      <c r="U83" s="97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97"/>
      <c r="U84" s="97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97"/>
      <c r="U85" s="97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97"/>
      <c r="U86" s="97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97"/>
      <c r="U87" s="97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97"/>
      <c r="U88" s="97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97"/>
      <c r="U89" s="97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97"/>
      <c r="U90" s="97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97"/>
      <c r="U91" s="97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97"/>
      <c r="U92" s="97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97"/>
      <c r="U93" s="97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97"/>
      <c r="U94" s="97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97"/>
      <c r="U95" s="97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97"/>
      <c r="U96" s="97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97"/>
      <c r="U97" s="97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97"/>
      <c r="U98" s="97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97"/>
      <c r="U99" s="97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97"/>
      <c r="U100" s="97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97"/>
      <c r="U101" s="97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97"/>
      <c r="U102" s="97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97"/>
      <c r="U103" s="97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97"/>
      <c r="U104" s="97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97"/>
      <c r="U105" s="97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97"/>
      <c r="U106" s="97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97"/>
      <c r="U107" s="97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97"/>
      <c r="U108" s="97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97"/>
      <c r="U109" s="97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97"/>
      <c r="U110" s="97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97"/>
      <c r="U111" s="97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97"/>
      <c r="U112" s="97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97"/>
      <c r="U113" s="97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97"/>
      <c r="U114" s="97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97"/>
      <c r="U115" s="97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97"/>
      <c r="U116" s="97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97"/>
      <c r="U117" s="97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97"/>
      <c r="U118" s="97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97"/>
      <c r="U119" s="97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97"/>
      <c r="U120" s="97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97"/>
      <c r="U121" s="97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97"/>
      <c r="U122" s="97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97"/>
      <c r="U123" s="97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97"/>
      <c r="U124" s="97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97"/>
      <c r="U125" s="97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97"/>
      <c r="U126" s="97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97"/>
      <c r="U127" s="97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97"/>
      <c r="U128" s="97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97"/>
      <c r="U129" s="97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97"/>
      <c r="U130" s="97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97"/>
      <c r="U131" s="97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97"/>
      <c r="U132" s="97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97"/>
      <c r="U133" s="97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97"/>
      <c r="U134" s="97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97"/>
      <c r="U135" s="97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97"/>
      <c r="U136" s="97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97"/>
      <c r="U137" s="97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97"/>
      <c r="U138" s="97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97"/>
      <c r="U139" s="97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97"/>
      <c r="U140" s="97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97"/>
      <c r="U141" s="97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97"/>
      <c r="U142" s="97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97"/>
      <c r="U143" s="97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97"/>
      <c r="U144" s="97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97"/>
      <c r="U145" s="97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97"/>
      <c r="U146" s="97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97"/>
      <c r="U147" s="97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97"/>
      <c r="U148" s="97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97"/>
      <c r="U149" s="97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97"/>
      <c r="U150" s="97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97"/>
      <c r="U151" s="97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97"/>
      <c r="U152" s="97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97"/>
      <c r="U153" s="97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97"/>
      <c r="U154" s="97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97"/>
      <c r="U155" s="97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97"/>
      <c r="U156" s="97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97"/>
      <c r="U157" s="97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97"/>
      <c r="U158" s="97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97"/>
      <c r="U159" s="97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97"/>
      <c r="U160" s="97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97"/>
      <c r="U161" s="97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97"/>
      <c r="U162" s="97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97"/>
      <c r="U163" s="97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97"/>
      <c r="U164" s="97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97"/>
      <c r="U165" s="97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97"/>
      <c r="U166" s="97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97"/>
      <c r="U167" s="97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97"/>
      <c r="U168" s="97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97"/>
      <c r="U169" s="97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97"/>
      <c r="U170" s="97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97"/>
      <c r="U171" s="97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97"/>
      <c r="U172" s="97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97"/>
      <c r="U173" s="97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97"/>
      <c r="U174" s="97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97"/>
      <c r="U175" s="97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97"/>
      <c r="U176" s="97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97"/>
      <c r="U177" s="97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97"/>
      <c r="U178" s="97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97"/>
      <c r="U179" s="97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97"/>
      <c r="U180" s="97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97"/>
      <c r="U181" s="97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97"/>
      <c r="U182" s="97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97"/>
      <c r="U183" s="97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97"/>
      <c r="U184" s="97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97"/>
      <c r="U185" s="97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97"/>
      <c r="U186" s="97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97"/>
      <c r="U187" s="97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97"/>
      <c r="U188" s="97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97"/>
      <c r="U189" s="97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97"/>
      <c r="U190" s="97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97"/>
      <c r="U191" s="97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97"/>
      <c r="U192" s="97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97"/>
      <c r="U193" s="97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97"/>
      <c r="U194" s="97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97"/>
      <c r="U195" s="97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97"/>
      <c r="U196" s="97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97"/>
      <c r="U197" s="97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97"/>
      <c r="U198" s="97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97"/>
      <c r="U199" s="97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97"/>
      <c r="U200" s="97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97"/>
      <c r="U201" s="97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97"/>
      <c r="U202" s="97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97"/>
      <c r="U203" s="97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97"/>
      <c r="U204" s="97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97"/>
      <c r="U205" s="97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97"/>
      <c r="U206" s="97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97"/>
      <c r="U207" s="97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97"/>
      <c r="U208" s="97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97"/>
      <c r="U209" s="97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97"/>
      <c r="U210" s="97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97"/>
      <c r="U211" s="97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97"/>
      <c r="U212" s="97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97"/>
      <c r="U213" s="97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97"/>
      <c r="U214" s="97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97"/>
      <c r="U215" s="97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97"/>
      <c r="U216" s="97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97"/>
      <c r="U217" s="97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97"/>
      <c r="U218" s="97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97"/>
      <c r="U219" s="97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97"/>
      <c r="U220" s="97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97"/>
      <c r="U221" s="97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97"/>
      <c r="U222" s="97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97"/>
      <c r="U223" s="97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97"/>
      <c r="U224" s="97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97"/>
      <c r="U225" s="97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97"/>
      <c r="U226" s="97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97"/>
      <c r="U227" s="97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97"/>
      <c r="U228" s="97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97"/>
      <c r="U229" s="97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97"/>
      <c r="U230" s="97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97"/>
      <c r="U231" s="97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97"/>
      <c r="U232" s="97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97"/>
      <c r="U233" s="97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97"/>
      <c r="U234" s="97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97"/>
      <c r="U235" s="97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97"/>
      <c r="U236" s="97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97"/>
      <c r="U237" s="97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97"/>
      <c r="U238" s="97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97"/>
      <c r="U239" s="97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97"/>
      <c r="U240" s="97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97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97"/>
      <c r="U242" s="97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97"/>
      <c r="U243" s="97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97"/>
      <c r="U244" s="97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97"/>
      <c r="U245" s="97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97"/>
      <c r="U246" s="97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97"/>
      <c r="U247" s="97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97"/>
      <c r="U248" s="97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97"/>
      <c r="U249" s="97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97"/>
      <c r="U250" s="97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97"/>
      <c r="U251" s="97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97"/>
      <c r="U252" s="97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97"/>
      <c r="U253" s="97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97"/>
      <c r="U254" s="97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97"/>
      <c r="U255" s="97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97"/>
      <c r="U256" s="97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97"/>
      <c r="U257" s="97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97"/>
      <c r="U258" s="97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97"/>
      <c r="U259" s="97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97"/>
      <c r="U260" s="97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97"/>
      <c r="U261" s="97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97"/>
      <c r="U262" s="97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97"/>
      <c r="U263" s="97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97"/>
      <c r="U264" s="97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97"/>
      <c r="U265" s="97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97"/>
      <c r="U266" s="97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97"/>
      <c r="U267" s="97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97"/>
      <c r="U268" s="97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97"/>
      <c r="U269" s="97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97"/>
      <c r="U270" s="97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97"/>
      <c r="U271" s="97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97"/>
      <c r="U272" s="97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97"/>
      <c r="U273" s="97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97"/>
      <c r="U274" s="97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97"/>
      <c r="U275" s="97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97"/>
      <c r="U276" s="97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97"/>
      <c r="U277" s="97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97"/>
      <c r="U278" s="97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97"/>
      <c r="U279" s="97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97"/>
      <c r="U280" s="97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97"/>
      <c r="U281" s="97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97"/>
      <c r="U282" s="97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97"/>
      <c r="U283" s="97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97"/>
      <c r="U284" s="97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97"/>
      <c r="U285" s="97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97"/>
      <c r="U286" s="97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97"/>
      <c r="U287" s="97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97"/>
      <c r="U288" s="97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97"/>
      <c r="U289" s="97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97"/>
      <c r="U290" s="97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97"/>
      <c r="U291" s="97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97"/>
      <c r="U292" s="97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97"/>
      <c r="U293" s="97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97"/>
      <c r="U294" s="97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97"/>
      <c r="U295" s="97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97"/>
      <c r="U296" s="97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97"/>
      <c r="U297" s="97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97"/>
      <c r="U298" s="97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97"/>
      <c r="U299" s="97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97"/>
      <c r="U300" s="97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97"/>
      <c r="U301" s="97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97"/>
      <c r="U302" s="97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97"/>
      <c r="U303" s="97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97"/>
      <c r="U304" s="97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97"/>
      <c r="U305" s="97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97"/>
      <c r="U306" s="97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97"/>
      <c r="U307" s="97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97"/>
      <c r="U308" s="97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97"/>
      <c r="U309" s="97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97"/>
      <c r="U310" s="97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97"/>
      <c r="U311" s="97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97"/>
      <c r="U312" s="9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97"/>
      <c r="U313" s="97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97"/>
      <c r="U314" s="97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97"/>
      <c r="U315" s="97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97"/>
      <c r="U316" s="97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97"/>
      <c r="U317" s="97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97"/>
      <c r="U318" s="97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97"/>
      <c r="U319" s="97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97"/>
      <c r="U320" s="97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97"/>
      <c r="U321" s="97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97"/>
      <c r="U322" s="97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97"/>
      <c r="U323" s="97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97"/>
      <c r="U324" s="97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97"/>
      <c r="U325" s="97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97"/>
      <c r="U326" s="97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97"/>
      <c r="U327" s="97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97"/>
      <c r="U328" s="97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97"/>
      <c r="U329" s="97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97"/>
      <c r="U330" s="97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97"/>
      <c r="U331" s="97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97"/>
      <c r="U332" s="97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97"/>
      <c r="U333" s="97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97"/>
      <c r="U334" s="97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97"/>
      <c r="U335" s="97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97"/>
      <c r="U336" s="97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97"/>
      <c r="U337" s="97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97"/>
      <c r="U338" s="97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97"/>
      <c r="U339" s="97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97"/>
      <c r="U340" s="97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97"/>
      <c r="U341" s="97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97"/>
      <c r="U342" s="97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97"/>
      <c r="U343" s="97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97"/>
      <c r="U344" s="97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97"/>
      <c r="U345" s="97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97"/>
      <c r="U346" s="97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97"/>
      <c r="U347" s="97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97"/>
      <c r="U348" s="97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97"/>
      <c r="U349" s="97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97"/>
      <c r="U350" s="97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97"/>
      <c r="U351" s="97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97"/>
      <c r="U352" s="97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97"/>
      <c r="U353" s="97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97"/>
      <c r="U354" s="97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97"/>
      <c r="U355" s="97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97"/>
      <c r="U356" s="97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97"/>
      <c r="U357" s="97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97"/>
      <c r="U358" s="97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97"/>
      <c r="U359" s="97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97"/>
      <c r="U360" s="97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97"/>
      <c r="U361" s="97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97"/>
      <c r="U362" s="97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97"/>
      <c r="U363" s="97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97"/>
      <c r="U364" s="97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97"/>
      <c r="U365" s="97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97"/>
      <c r="U366" s="97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97"/>
      <c r="U367" s="97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97"/>
      <c r="U368" s="97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97"/>
      <c r="U369" s="97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97"/>
      <c r="U370" s="97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97"/>
      <c r="U371" s="97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97"/>
      <c r="U372" s="97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97"/>
      <c r="U373" s="97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97"/>
      <c r="U374" s="97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97"/>
      <c r="U375" s="97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97"/>
      <c r="U376" s="97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97"/>
      <c r="U377" s="97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97"/>
      <c r="U378" s="97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97"/>
      <c r="U379" s="97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97"/>
      <c r="U380" s="97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97"/>
      <c r="U381" s="97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97"/>
      <c r="U382" s="97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97"/>
      <c r="U383" s="97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97"/>
      <c r="U384" s="97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97"/>
      <c r="U385" s="97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97"/>
      <c r="U386" s="97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97"/>
      <c r="U387" s="97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97"/>
      <c r="U388" s="97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97"/>
      <c r="U389" s="97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97"/>
      <c r="U390" s="97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97"/>
      <c r="U391" s="97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97"/>
      <c r="U392" s="97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97"/>
      <c r="U393" s="97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97"/>
      <c r="U394" s="97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97"/>
      <c r="U395" s="97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97"/>
      <c r="U396" s="97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97"/>
      <c r="U397" s="97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97"/>
      <c r="U398" s="97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97"/>
      <c r="U399" s="97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97"/>
      <c r="U400" s="97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97"/>
      <c r="U401" s="97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97"/>
      <c r="U402" s="97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97"/>
      <c r="U403" s="97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97"/>
      <c r="U404" s="97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97"/>
      <c r="U405" s="97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97"/>
      <c r="U406" s="97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97"/>
      <c r="U407" s="97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97"/>
      <c r="U408" s="97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97"/>
      <c r="U409" s="97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97"/>
      <c r="U410" s="97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97"/>
      <c r="U411" s="97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97"/>
      <c r="U412" s="97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97"/>
      <c r="U413" s="97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97"/>
      <c r="U414" s="97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97"/>
      <c r="U415" s="97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97"/>
      <c r="U416" s="97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97"/>
      <c r="U417" s="97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97"/>
      <c r="U418" s="97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97"/>
      <c r="U419" s="97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97"/>
      <c r="U420" s="97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97"/>
      <c r="U421" s="97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97"/>
      <c r="U422" s="97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97"/>
      <c r="U423" s="97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97"/>
      <c r="U424" s="97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97"/>
      <c r="U425" s="97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97"/>
      <c r="U426" s="97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97"/>
      <c r="U427" s="97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97"/>
      <c r="U428" s="97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97"/>
      <c r="U429" s="97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97"/>
      <c r="U430" s="97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97"/>
      <c r="U431" s="97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97"/>
      <c r="U432" s="97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97"/>
      <c r="U433" s="97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97"/>
      <c r="U434" s="97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97"/>
      <c r="U435" s="97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97"/>
      <c r="U436" s="97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97"/>
      <c r="U437" s="97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97"/>
      <c r="U438" s="97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97"/>
      <c r="U439" s="97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97"/>
      <c r="U440" s="97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97"/>
      <c r="U441" s="97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97"/>
      <c r="U442" s="97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97"/>
      <c r="U443" s="97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97"/>
      <c r="U444" s="97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97"/>
      <c r="U445" s="97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97"/>
      <c r="U446" s="97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97"/>
      <c r="U447" s="97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97"/>
      <c r="U448" s="97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97"/>
      <c r="U449" s="97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97"/>
      <c r="U450" s="97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97"/>
      <c r="U451" s="97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97"/>
      <c r="U452" s="97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97"/>
      <c r="U453" s="97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97"/>
      <c r="U454" s="97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97"/>
      <c r="U455" s="97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97"/>
      <c r="U456" s="97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97"/>
      <c r="U457" s="97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97"/>
      <c r="U458" s="97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97"/>
      <c r="U459" s="97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97"/>
      <c r="U460" s="97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97"/>
      <c r="U461" s="97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97"/>
      <c r="U462" s="97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97"/>
      <c r="U463" s="97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97"/>
      <c r="U464" s="97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97"/>
      <c r="U465" s="97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97"/>
      <c r="U466" s="97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97"/>
      <c r="U467" s="97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97"/>
      <c r="U468" s="97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97"/>
      <c r="U469" s="97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97"/>
      <c r="U470" s="97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97"/>
      <c r="U471" s="97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97"/>
      <c r="U472" s="97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97"/>
      <c r="U473" s="97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97"/>
      <c r="U474" s="97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97"/>
      <c r="U475" s="97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97"/>
      <c r="U476" s="97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97"/>
      <c r="U477" s="97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97"/>
      <c r="U478" s="97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97"/>
      <c r="U479" s="97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97"/>
      <c r="U480" s="97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97"/>
      <c r="U481" s="97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97"/>
      <c r="U482" s="97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97"/>
      <c r="U483" s="97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97"/>
      <c r="U484" s="97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97"/>
      <c r="U485" s="97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97"/>
      <c r="U486" s="97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97"/>
      <c r="U487" s="97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97"/>
      <c r="U488" s="97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97"/>
      <c r="U489" s="97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97"/>
      <c r="U490" s="97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97"/>
      <c r="U491" s="97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97"/>
      <c r="U492" s="97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97"/>
      <c r="U493" s="97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97"/>
      <c r="U494" s="97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97"/>
      <c r="U495" s="97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97"/>
      <c r="U496" s="97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97"/>
      <c r="U497" s="97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97"/>
      <c r="U498" s="97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97"/>
      <c r="U499" s="97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97"/>
      <c r="U500" s="97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97"/>
      <c r="U501" s="97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97"/>
      <c r="U502" s="97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97"/>
      <c r="U503" s="97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97"/>
      <c r="U504" s="97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97"/>
      <c r="U505" s="97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97"/>
      <c r="U506" s="97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97"/>
      <c r="U507" s="97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97"/>
      <c r="U508" s="97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97"/>
      <c r="U509" s="97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97"/>
      <c r="U510" s="97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97"/>
      <c r="U511" s="97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97"/>
      <c r="U512" s="97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97"/>
      <c r="U513" s="97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97"/>
      <c r="U514" s="97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97"/>
      <c r="U515" s="97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97"/>
      <c r="U516" s="97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97"/>
      <c r="U517" s="97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97"/>
      <c r="U518" s="97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97"/>
      <c r="U519" s="97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97"/>
      <c r="U520" s="97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97"/>
      <c r="U521" s="97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97"/>
      <c r="U522" s="97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97"/>
      <c r="U523" s="97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97"/>
      <c r="U524" s="97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97"/>
      <c r="U525" s="97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97"/>
      <c r="U526" s="97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97"/>
      <c r="U527" s="97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97"/>
      <c r="U528" s="97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97"/>
      <c r="U529" s="97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97"/>
      <c r="U530" s="97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97"/>
      <c r="U531" s="97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97"/>
      <c r="U532" s="97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97"/>
      <c r="U533" s="97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97"/>
      <c r="U534" s="97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97"/>
      <c r="U535" s="97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97"/>
      <c r="U536" s="97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97"/>
      <c r="U537" s="97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97"/>
      <c r="U538" s="97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97"/>
      <c r="U539" s="97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97"/>
      <c r="U540" s="97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97"/>
      <c r="U541" s="97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97"/>
      <c r="U542" s="97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97"/>
      <c r="U543" s="97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97"/>
      <c r="U544" s="97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97"/>
      <c r="U545" s="97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97"/>
      <c r="U546" s="97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97"/>
      <c r="U547" s="97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97"/>
      <c r="U548" s="97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97"/>
      <c r="U549" s="97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97"/>
      <c r="U550" s="97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97"/>
      <c r="U551" s="97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97"/>
      <c r="U552" s="97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97"/>
      <c r="U553" s="97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97"/>
      <c r="U554" s="97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97"/>
      <c r="U555" s="97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97"/>
      <c r="U556" s="97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97"/>
      <c r="U557" s="97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97"/>
      <c r="U558" s="97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97"/>
      <c r="U559" s="97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97"/>
      <c r="U560" s="97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97"/>
      <c r="U561" s="97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97"/>
      <c r="U562" s="97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97"/>
      <c r="U563" s="97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97"/>
      <c r="U564" s="97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97"/>
      <c r="U565" s="97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97"/>
      <c r="U566" s="97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97"/>
      <c r="U567" s="97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97"/>
      <c r="U568" s="97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97"/>
      <c r="U569" s="97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97"/>
      <c r="U570" s="97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97"/>
      <c r="U571" s="97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97"/>
      <c r="U572" s="97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97"/>
      <c r="U573" s="97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97"/>
      <c r="U574" s="97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97"/>
      <c r="U575" s="97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97"/>
      <c r="U576" s="97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97"/>
      <c r="U577" s="97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97"/>
      <c r="U578" s="97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97"/>
      <c r="U579" s="97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97"/>
      <c r="U580" s="97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97"/>
      <c r="U581" s="97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97"/>
      <c r="U582" s="97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97"/>
      <c r="U583" s="97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97"/>
      <c r="U584" s="97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97"/>
      <c r="U585" s="97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97"/>
      <c r="U586" s="97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97"/>
      <c r="U587" s="97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97"/>
      <c r="U588" s="97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97"/>
      <c r="U589" s="97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97"/>
      <c r="U590" s="97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97"/>
      <c r="U591" s="97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97"/>
      <c r="U592" s="97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97"/>
      <c r="U593" s="97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97"/>
      <c r="U594" s="97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97"/>
      <c r="U595" s="97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97"/>
      <c r="U596" s="97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97"/>
      <c r="U597" s="97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97"/>
      <c r="U598" s="97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97"/>
      <c r="U599" s="97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97"/>
      <c r="U600" s="97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97"/>
      <c r="U601" s="97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97"/>
      <c r="U602" s="97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97"/>
      <c r="U603" s="97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97"/>
      <c r="U604" s="97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97"/>
      <c r="U605" s="97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97"/>
      <c r="U606" s="97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97"/>
      <c r="U607" s="97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97"/>
      <c r="U608" s="97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97"/>
      <c r="U609" s="97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97"/>
      <c r="U610" s="97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97"/>
      <c r="U611" s="97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97"/>
      <c r="U612" s="97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97"/>
      <c r="U613" s="97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97"/>
      <c r="U614" s="97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97"/>
      <c r="U615" s="97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97"/>
      <c r="U616" s="97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97"/>
      <c r="U617" s="97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97"/>
      <c r="U618" s="97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97"/>
      <c r="U619" s="97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97"/>
      <c r="U620" s="97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97"/>
      <c r="U621" s="97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97"/>
      <c r="U622" s="97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97"/>
      <c r="U623" s="97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97"/>
      <c r="U624" s="97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97"/>
      <c r="U625" s="97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97"/>
      <c r="U626" s="97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97"/>
      <c r="U627" s="97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97"/>
      <c r="U628" s="97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97"/>
      <c r="U629" s="97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97"/>
      <c r="U630" s="97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97"/>
      <c r="U631" s="97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97"/>
      <c r="U632" s="97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97"/>
      <c r="U633" s="97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97"/>
      <c r="U634" s="97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97"/>
      <c r="U635" s="97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97"/>
      <c r="U636" s="97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97"/>
      <c r="U637" s="97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97"/>
      <c r="U638" s="97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97"/>
      <c r="U639" s="97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97"/>
      <c r="U640" s="97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97"/>
      <c r="U641" s="97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97"/>
      <c r="U642" s="97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97"/>
      <c r="U643" s="97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97"/>
      <c r="U644" s="97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97"/>
      <c r="U645" s="97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97"/>
      <c r="U646" s="97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97"/>
      <c r="U647" s="97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97"/>
      <c r="U648" s="97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97"/>
      <c r="U649" s="97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97"/>
      <c r="U650" s="97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97"/>
      <c r="U651" s="97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97"/>
      <c r="U652" s="97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97"/>
      <c r="U653" s="97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97"/>
      <c r="U654" s="97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97"/>
      <c r="U655" s="97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97"/>
      <c r="U656" s="97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97"/>
      <c r="U657" s="97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97"/>
      <c r="U658" s="97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97"/>
      <c r="U659" s="97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97"/>
      <c r="U660" s="97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97"/>
      <c r="U661" s="97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97"/>
      <c r="U662" s="97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97"/>
      <c r="U663" s="97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97"/>
      <c r="U664" s="97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97"/>
      <c r="U665" s="97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97"/>
      <c r="U666" s="97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97"/>
      <c r="U667" s="97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97"/>
      <c r="U668" s="97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97"/>
      <c r="U669" s="97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97"/>
      <c r="U670" s="97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97"/>
      <c r="U671" s="97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97"/>
      <c r="U672" s="97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97"/>
      <c r="U673" s="97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97"/>
      <c r="U674" s="97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97"/>
      <c r="U675" s="97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97"/>
      <c r="U676" s="97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97"/>
      <c r="U677" s="97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97"/>
      <c r="U678" s="97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97"/>
      <c r="U679" s="97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97"/>
      <c r="U680" s="97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97"/>
      <c r="U681" s="97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97"/>
      <c r="U682" s="97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97"/>
      <c r="U683" s="97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97"/>
      <c r="U684" s="97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97"/>
      <c r="U685" s="97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97"/>
      <c r="U686" s="97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97"/>
      <c r="U687" s="97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97"/>
      <c r="U688" s="97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97"/>
      <c r="U689" s="97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97"/>
      <c r="U690" s="97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97"/>
      <c r="U691" s="97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97"/>
      <c r="U692" s="97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97"/>
      <c r="U693" s="97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97"/>
      <c r="U694" s="97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97"/>
      <c r="U695" s="97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97"/>
      <c r="U696" s="97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97"/>
      <c r="U697" s="97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97"/>
      <c r="U698" s="97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97"/>
      <c r="U699" s="97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97"/>
      <c r="U700" s="97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97"/>
      <c r="U701" s="97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97"/>
      <c r="U702" s="97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97"/>
      <c r="U703" s="97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97"/>
      <c r="U704" s="97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97"/>
      <c r="U705" s="97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97"/>
      <c r="U706" s="97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97"/>
      <c r="U707" s="97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97"/>
      <c r="U708" s="97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97"/>
      <c r="U709" s="97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97"/>
      <c r="U710" s="97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97"/>
      <c r="U711" s="97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97"/>
      <c r="U712" s="97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97"/>
      <c r="U713" s="97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97"/>
      <c r="U714" s="97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97"/>
      <c r="U715" s="97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97"/>
      <c r="U716" s="97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97"/>
      <c r="U717" s="97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97"/>
      <c r="U718" s="97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97"/>
      <c r="U719" s="97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97"/>
      <c r="U720" s="97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97"/>
      <c r="U721" s="97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97"/>
      <c r="U722" s="97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97"/>
      <c r="U723" s="97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97"/>
      <c r="U724" s="97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97"/>
      <c r="U725" s="97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97"/>
      <c r="U726" s="97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97"/>
      <c r="U727" s="97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97"/>
      <c r="U728" s="97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97"/>
      <c r="U729" s="97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97"/>
      <c r="U730" s="97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97"/>
      <c r="U731" s="97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97"/>
      <c r="U732" s="97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97"/>
      <c r="U733" s="97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97"/>
      <c r="U734" s="97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97"/>
      <c r="U735" s="97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97"/>
      <c r="U736" s="97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97"/>
      <c r="U737" s="97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97"/>
      <c r="U738" s="97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97"/>
      <c r="U739" s="97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97"/>
      <c r="U740" s="97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97"/>
      <c r="U741" s="97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97"/>
      <c r="U742" s="97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97"/>
      <c r="U743" s="97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97"/>
      <c r="U744" s="97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97"/>
      <c r="U745" s="97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97"/>
      <c r="U746" s="97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97"/>
      <c r="U747" s="97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97"/>
      <c r="U748" s="97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97"/>
      <c r="U749" s="97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97"/>
      <c r="U750" s="97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97"/>
      <c r="U751" s="97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97"/>
      <c r="U752" s="97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97"/>
      <c r="U753" s="97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97"/>
      <c r="U754" s="97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97"/>
      <c r="U755" s="97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97"/>
      <c r="U756" s="97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97"/>
      <c r="U757" s="97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97"/>
      <c r="U758" s="97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97"/>
      <c r="U759" s="97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97"/>
      <c r="U760" s="97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97"/>
      <c r="U761" s="97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97"/>
      <c r="U762" s="97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97"/>
      <c r="U763" s="97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97"/>
      <c r="U764" s="97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97"/>
      <c r="U765" s="97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97"/>
      <c r="U766" s="97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97"/>
      <c r="U767" s="97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97"/>
      <c r="U768" s="97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97"/>
      <c r="U769" s="97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97"/>
      <c r="U770" s="97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97"/>
      <c r="U771" s="97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97"/>
      <c r="U772" s="97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97"/>
      <c r="U773" s="97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97"/>
      <c r="U774" s="97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97"/>
      <c r="U775" s="97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97"/>
      <c r="U776" s="97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97"/>
      <c r="U777" s="97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97"/>
      <c r="U778" s="97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97"/>
      <c r="U779" s="97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97"/>
      <c r="U780" s="97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97"/>
      <c r="U781" s="97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97"/>
      <c r="U782" s="97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97"/>
      <c r="U783" s="97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97"/>
      <c r="U784" s="97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97"/>
      <c r="U785" s="97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97"/>
      <c r="U786" s="97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97"/>
      <c r="U787" s="97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97"/>
      <c r="U788" s="97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97"/>
      <c r="U789" s="97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97"/>
      <c r="U790" s="97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97"/>
      <c r="U791" s="97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97"/>
      <c r="U792" s="97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97"/>
      <c r="U793" s="97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97"/>
      <c r="U794" s="97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97"/>
      <c r="U795" s="97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97"/>
      <c r="U796" s="97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97"/>
      <c r="U797" s="97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97"/>
      <c r="U798" s="97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97"/>
      <c r="U799" s="97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97"/>
      <c r="U800" s="97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97"/>
      <c r="U801" s="97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97"/>
      <c r="U802" s="97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97"/>
      <c r="U803" s="97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97"/>
      <c r="U804" s="97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97"/>
      <c r="U805" s="97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97"/>
      <c r="U806" s="97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97"/>
      <c r="U807" s="97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97"/>
      <c r="U808" s="97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97"/>
      <c r="U809" s="97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97"/>
      <c r="U810" s="97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97"/>
      <c r="U811" s="97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97"/>
      <c r="U812" s="97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97"/>
      <c r="U813" s="97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97"/>
      <c r="U814" s="97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97"/>
      <c r="U815" s="97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97"/>
      <c r="U816" s="97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97"/>
      <c r="U817" s="97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97"/>
      <c r="U818" s="97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97"/>
      <c r="U819" s="97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97"/>
      <c r="U820" s="97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97"/>
      <c r="U821" s="97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97"/>
      <c r="U822" s="97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97"/>
      <c r="U823" s="97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97"/>
      <c r="U824" s="97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97"/>
      <c r="U825" s="97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97"/>
      <c r="U826" s="97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97"/>
      <c r="U827" s="97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97"/>
      <c r="U828" s="97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97"/>
      <c r="U829" s="97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97"/>
      <c r="U830" s="97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97"/>
      <c r="U831" s="97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97"/>
      <c r="U832" s="97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97"/>
      <c r="U833" s="97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97"/>
      <c r="U834" s="97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97"/>
      <c r="U835" s="97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97"/>
      <c r="U836" s="97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97"/>
      <c r="U837" s="97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97"/>
      <c r="U838" s="97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97"/>
      <c r="U839" s="97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97"/>
      <c r="U840" s="97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97"/>
      <c r="U841" s="97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97"/>
      <c r="U842" s="97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97"/>
      <c r="U843" s="97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97"/>
      <c r="U844" s="97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97"/>
      <c r="U845" s="97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97"/>
      <c r="U846" s="97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97"/>
      <c r="U847" s="97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97"/>
      <c r="U848" s="97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97"/>
      <c r="U849" s="97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97"/>
      <c r="U850" s="97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97"/>
      <c r="U851" s="97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97"/>
      <c r="U852" s="97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97"/>
      <c r="U853" s="97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97"/>
      <c r="U854" s="97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97"/>
      <c r="U855" s="97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97"/>
      <c r="U856" s="97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97"/>
      <c r="U857" s="97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97"/>
      <c r="U858" s="97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97"/>
      <c r="U859" s="97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97"/>
      <c r="U860" s="97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97"/>
      <c r="U861" s="97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97"/>
      <c r="U862" s="97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97"/>
      <c r="U863" s="97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97"/>
      <c r="U864" s="97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97"/>
      <c r="U865" s="97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97"/>
      <c r="U866" s="97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97"/>
      <c r="U867" s="97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97"/>
      <c r="U868" s="97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97"/>
      <c r="U869" s="97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97"/>
      <c r="U870" s="97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97"/>
      <c r="U871" s="97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97"/>
      <c r="U872" s="97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97"/>
      <c r="U873" s="97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97"/>
      <c r="U874" s="97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97"/>
      <c r="U875" s="97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97"/>
      <c r="U876" s="97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97"/>
      <c r="U877" s="97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97"/>
      <c r="U878" s="97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97"/>
      <c r="U879" s="97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97"/>
      <c r="U880" s="97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97"/>
      <c r="U881" s="97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97"/>
      <c r="U882" s="97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97"/>
      <c r="U883" s="97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97"/>
      <c r="U884" s="97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97"/>
      <c r="U885" s="97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97"/>
      <c r="U886" s="97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97"/>
      <c r="U887" s="97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97"/>
      <c r="U888" s="97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97"/>
      <c r="U889" s="97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97"/>
      <c r="U890" s="97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97"/>
      <c r="U891" s="97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97"/>
      <c r="U892" s="97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97"/>
      <c r="U893" s="97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97"/>
      <c r="U894" s="97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97"/>
      <c r="U895" s="97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97"/>
      <c r="U896" s="97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97"/>
      <c r="U897" s="97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97"/>
      <c r="U898" s="97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97"/>
      <c r="U899" s="97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97"/>
      <c r="U900" s="97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97"/>
      <c r="U901" s="97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97"/>
      <c r="U902" s="97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97"/>
      <c r="U903" s="97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97"/>
      <c r="U904" s="97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97"/>
      <c r="U905" s="97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97"/>
      <c r="U906" s="97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97"/>
      <c r="U907" s="97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97"/>
      <c r="U908" s="97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97"/>
      <c r="U909" s="97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97"/>
      <c r="U910" s="97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97"/>
      <c r="U911" s="97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97"/>
      <c r="U912" s="97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97"/>
      <c r="U913" s="97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97"/>
      <c r="U914" s="97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97"/>
      <c r="U915" s="97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97"/>
      <c r="U916" s="97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97"/>
      <c r="U917" s="97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97"/>
      <c r="U918" s="97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97"/>
      <c r="U919" s="97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97"/>
      <c r="U920" s="97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97"/>
      <c r="U921" s="97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97"/>
      <c r="U922" s="97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97"/>
      <c r="U923" s="97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97"/>
      <c r="U924" s="97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97"/>
      <c r="U925" s="97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97"/>
      <c r="U926" s="97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97"/>
      <c r="U927" s="97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97"/>
      <c r="U928" s="97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97"/>
      <c r="U929" s="97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97"/>
      <c r="U930" s="97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97"/>
      <c r="U931" s="97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97"/>
      <c r="U932" s="97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97"/>
      <c r="U933" s="97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97"/>
      <c r="U934" s="97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97"/>
      <c r="U935" s="97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97"/>
      <c r="U936" s="97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97"/>
      <c r="U937" s="97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97"/>
      <c r="U938" s="97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97"/>
      <c r="U939" s="97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97"/>
      <c r="U940" s="97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97"/>
      <c r="U941" s="97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97"/>
      <c r="U942" s="97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97"/>
      <c r="U943" s="97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97"/>
      <c r="U944" s="97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97"/>
      <c r="U945" s="97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97"/>
      <c r="U946" s="97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97"/>
      <c r="U947" s="97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97"/>
      <c r="U948" s="97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97"/>
      <c r="U949" s="97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97"/>
      <c r="U950" s="97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97"/>
      <c r="U951" s="97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97"/>
      <c r="U952" s="97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97"/>
      <c r="U953" s="97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97"/>
      <c r="U954" s="97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97"/>
      <c r="U955" s="97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97"/>
      <c r="U956" s="97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97"/>
      <c r="U957" s="97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97"/>
      <c r="U958" s="97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97"/>
      <c r="U959" s="97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97"/>
      <c r="U960" s="97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97"/>
      <c r="U961" s="97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97"/>
      <c r="U962" s="97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97"/>
      <c r="U963" s="97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97"/>
      <c r="U964" s="97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97"/>
      <c r="U965" s="97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97"/>
      <c r="U966" s="97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97"/>
      <c r="U967" s="97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97"/>
      <c r="U968" s="97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97"/>
      <c r="U969" s="97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97"/>
      <c r="U970" s="97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97"/>
      <c r="U971" s="97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97"/>
      <c r="U972" s="97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97"/>
      <c r="U973" s="97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97"/>
      <c r="U974" s="97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97"/>
      <c r="U975" s="97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97"/>
      <c r="U976" s="97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97"/>
      <c r="U977" s="97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97"/>
      <c r="U978" s="97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97"/>
      <c r="U979" s="97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97"/>
      <c r="U980" s="97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97"/>
      <c r="U981" s="97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97"/>
      <c r="U982" s="97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97"/>
      <c r="U983" s="97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97"/>
      <c r="U984" s="97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97"/>
      <c r="U985" s="97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97"/>
      <c r="U986" s="97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97"/>
      <c r="U987" s="97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97"/>
      <c r="U988" s="97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97"/>
      <c r="U989" s="97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97"/>
      <c r="U990" s="97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97"/>
      <c r="U991" s="97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97"/>
      <c r="U992" s="97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97"/>
      <c r="U993" s="97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97"/>
      <c r="U994" s="97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97"/>
      <c r="U995" s="97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97"/>
      <c r="U996" s="97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97"/>
      <c r="U997" s="97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97"/>
      <c r="U998" s="97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97"/>
      <c r="U999" s="97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97"/>
      <c r="U1000" s="97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97"/>
      <c r="U1001" s="97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97"/>
      <c r="U1002" s="97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97"/>
      <c r="U1003" s="97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97"/>
      <c r="U1004" s="97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97"/>
      <c r="U1005" s="97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97"/>
      <c r="U1006" s="97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97"/>
      <c r="U1007" s="97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97"/>
      <c r="U1008" s="97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97"/>
      <c r="U1009" s="97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97"/>
      <c r="U1010" s="97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97"/>
      <c r="U1011" s="97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97"/>
      <c r="U1012" s="97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97"/>
      <c r="U1013" s="97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97"/>
      <c r="U1014" s="97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97"/>
      <c r="U1015" s="97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97"/>
      <c r="U1016" s="97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97"/>
      <c r="U1017" s="97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97"/>
      <c r="U1018" s="97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5"/>
    <col customWidth="1" min="11" max="11" width="5.88"/>
  </cols>
  <sheetData>
    <row r="1">
      <c r="C1" s="122">
        <v>5.0</v>
      </c>
      <c r="D1" s="122">
        <v>6.0</v>
      </c>
      <c r="E1" s="122">
        <v>7.0</v>
      </c>
      <c r="F1" s="122">
        <v>8.0</v>
      </c>
      <c r="G1" s="122">
        <v>9.0</v>
      </c>
      <c r="H1" s="122">
        <v>10.0</v>
      </c>
      <c r="I1" s="122">
        <v>11.0</v>
      </c>
      <c r="J1" s="122">
        <v>12.0</v>
      </c>
      <c r="L1" s="123"/>
    </row>
    <row r="2">
      <c r="A2" s="124"/>
      <c r="B2" s="125"/>
      <c r="C2" s="126" t="s">
        <v>144</v>
      </c>
      <c r="D2" s="127" t="s">
        <v>145</v>
      </c>
      <c r="E2" s="127" t="s">
        <v>146</v>
      </c>
      <c r="F2" s="127" t="s">
        <v>147</v>
      </c>
      <c r="G2" s="127" t="s">
        <v>148</v>
      </c>
      <c r="H2" s="127" t="s">
        <v>149</v>
      </c>
      <c r="I2" s="127" t="s">
        <v>150</v>
      </c>
      <c r="J2" s="127" t="s">
        <v>151</v>
      </c>
      <c r="K2" s="128"/>
      <c r="L2" s="129" t="s">
        <v>152</v>
      </c>
    </row>
    <row r="3">
      <c r="B3" s="130" t="s">
        <v>153</v>
      </c>
      <c r="C3" s="131">
        <f>sumif('Sales Santa Brisa Europe SL'!$B:$B,"5",'Sales Santa Brisa Europe SL'!$M:$M)</f>
        <v>47.99</v>
      </c>
      <c r="D3" s="132">
        <f>sumif('Sales Santa Brisa Europe SL'!$B:$B,"6",'Sales Santa Brisa Europe SL'!$M:$M)</f>
        <v>943.25</v>
      </c>
      <c r="E3" s="132">
        <f>sumif('Sales Santa Brisa Europe SL'!$B:$B,"7",'Sales Santa Brisa Europe SL'!$M:$M)</f>
        <v>3999.67</v>
      </c>
      <c r="F3" s="132">
        <f>sumif('Sales Santa Brisa Europe SL'!$B:$B,"8",'Sales Santa Brisa Europe SL'!$M:$M)</f>
        <v>2782.88</v>
      </c>
      <c r="G3" s="132">
        <f>sumif('Sales Santa Brisa Europe SL'!$B:$B,"9",'Sales Santa Brisa Europe SL'!$M:$M)</f>
        <v>20624.5</v>
      </c>
      <c r="H3" s="132">
        <f>sumif('Sales Santa Brisa Europe SL'!$B:$B,"10",'Sales Santa Brisa Europe SL'!$M:$M)</f>
        <v>0</v>
      </c>
      <c r="I3" s="132">
        <f>sumif('Sales Santa Brisa Europe SL'!$B:$B,"11",'Sales Santa Brisa Europe SL'!$M:$M)</f>
        <v>0</v>
      </c>
      <c r="J3" s="132">
        <f>sumif('Sales Santa Brisa Europe SL'!$B:$B,"12",'Sales Santa Brisa Europe SL'!$M:$M)</f>
        <v>0</v>
      </c>
      <c r="K3" s="132"/>
      <c r="L3" s="133">
        <f t="shared" ref="L3:L4" si="1">sum(B3:J3)</f>
        <v>28398.29</v>
      </c>
    </row>
    <row r="4">
      <c r="B4" s="130" t="s">
        <v>154</v>
      </c>
      <c r="C4" s="134">
        <f>sumif('Sales Santa Brisa Europe SL'!$B:$B,C1,'Sales Santa Brisa Europe SL'!$K:$K)</f>
        <v>1</v>
      </c>
      <c r="D4" s="135">
        <f>sumif('Sales Santa Brisa Europe SL'!$B:$B,D1,'Sales Santa Brisa Europe SL'!$K:$K)</f>
        <v>106</v>
      </c>
      <c r="E4" s="135">
        <f>sumif('Sales Santa Brisa Europe SL'!$B:$B,E1,'Sales Santa Brisa Europe SL'!$K:$K)</f>
        <v>326</v>
      </c>
      <c r="F4" s="135">
        <f>sumif('Sales Santa Brisa Europe SL'!$B:$B,F1,'Sales Santa Brisa Europe SL'!$K:$K)</f>
        <v>147</v>
      </c>
      <c r="G4" s="135">
        <f>sumif('Sales Santa Brisa Europe SL'!$B:$B,G1,'Sales Santa Brisa Europe SL'!$K:$K)</f>
        <v>1880</v>
      </c>
      <c r="H4" s="135">
        <f>sumif('Sales Santa Brisa Europe SL'!$B:$B,H1,'Sales Santa Brisa Europe SL'!$K:$K)</f>
        <v>0</v>
      </c>
      <c r="I4" s="135">
        <f>sumif('Sales Santa Brisa Europe SL'!$B:$B,I1,'Sales Santa Brisa Europe SL'!$K:$K)</f>
        <v>0</v>
      </c>
      <c r="J4" s="135">
        <f>sumif('Sales Santa Brisa Europe SL'!$B:$B,J1,'Sales Santa Brisa Europe SL'!$K:$K)</f>
        <v>0</v>
      </c>
      <c r="K4" s="135"/>
      <c r="L4" s="136">
        <f t="shared" si="1"/>
        <v>2460</v>
      </c>
    </row>
    <row r="5" ht="5.25" customHeight="1">
      <c r="B5" s="137"/>
      <c r="C5" s="134"/>
      <c r="D5" s="135"/>
      <c r="E5" s="135"/>
      <c r="F5" s="135"/>
      <c r="G5" s="135"/>
      <c r="H5" s="135"/>
      <c r="I5" s="135"/>
      <c r="J5" s="135"/>
      <c r="K5" s="135"/>
      <c r="L5" s="138"/>
    </row>
    <row r="6">
      <c r="A6" s="59"/>
      <c r="B6" s="139" t="s">
        <v>155</v>
      </c>
      <c r="C6" s="134">
        <f t="shared" ref="C6:J6" si="2">C4/6</f>
        <v>0.1666666667</v>
      </c>
      <c r="D6" s="135">
        <f t="shared" si="2"/>
        <v>17.66666667</v>
      </c>
      <c r="E6" s="135">
        <f t="shared" si="2"/>
        <v>54.33333333</v>
      </c>
      <c r="F6" s="135">
        <f t="shared" si="2"/>
        <v>24.5</v>
      </c>
      <c r="G6" s="135">
        <f t="shared" si="2"/>
        <v>313.3333333</v>
      </c>
      <c r="H6" s="135">
        <f t="shared" si="2"/>
        <v>0</v>
      </c>
      <c r="I6" s="135">
        <f t="shared" si="2"/>
        <v>0</v>
      </c>
      <c r="J6" s="135">
        <f t="shared" si="2"/>
        <v>0</v>
      </c>
      <c r="K6" s="135"/>
      <c r="L6" s="136">
        <f>sum(D6:J6)</f>
        <v>409.8333333</v>
      </c>
    </row>
    <row r="7" ht="6.0" customHeight="1">
      <c r="B7" s="140"/>
      <c r="C7" s="141"/>
      <c r="D7" s="142"/>
      <c r="E7" s="142"/>
      <c r="F7" s="142"/>
      <c r="G7" s="142"/>
      <c r="H7" s="142"/>
      <c r="I7" s="142"/>
      <c r="J7" s="142"/>
      <c r="K7" s="143"/>
      <c r="L7" s="144"/>
    </row>
    <row r="8" ht="6.0" customHeight="1">
      <c r="B8" s="145"/>
      <c r="C8" s="146" t="s">
        <v>144</v>
      </c>
      <c r="D8" s="147" t="s">
        <v>145</v>
      </c>
      <c r="E8" s="147" t="s">
        <v>146</v>
      </c>
      <c r="F8" s="147" t="s">
        <v>147</v>
      </c>
      <c r="G8" s="147" t="s">
        <v>148</v>
      </c>
      <c r="H8" s="147" t="s">
        <v>149</v>
      </c>
      <c r="I8" s="147" t="s">
        <v>150</v>
      </c>
      <c r="J8" s="147" t="s">
        <v>151</v>
      </c>
      <c r="K8" s="148"/>
      <c r="L8" s="149"/>
    </row>
    <row r="9">
      <c r="B9" s="150" t="s">
        <v>24</v>
      </c>
      <c r="C9" s="151">
        <f>SUMIFS('Sales Santa Brisa Europe SL'!$M:$M,'Sales Santa Brisa Europe SL'!$B:$B, C$1,'Sales Santa Brisa Europe SL'!$G:$G, $B$9)</f>
        <v>0</v>
      </c>
      <c r="D9" s="152">
        <f>SUMIFS('Sales Santa Brisa Europe SL'!$M:$M,'Sales Santa Brisa Europe SL'!$B:$B, D$1,'Sales Santa Brisa Europe SL'!$G:$G, $B$9)</f>
        <v>0</v>
      </c>
      <c r="E9" s="152">
        <f>SUMIFS('Sales Santa Brisa Europe SL'!$M:$M,'Sales Santa Brisa Europe SL'!$B:$B, E$1,'Sales Santa Brisa Europe SL'!$G:$G, $B$9)</f>
        <v>0</v>
      </c>
      <c r="F9" s="152">
        <f>SUMIFS('Sales Santa Brisa Europe SL'!$M:$M,'Sales Santa Brisa Europe SL'!$B:$B, F$1,'Sales Santa Brisa Europe SL'!$G:$G, $B$9)</f>
        <v>0</v>
      </c>
      <c r="G9" s="152">
        <f>SUMIFS('Sales Santa Brisa Europe SL'!$M:$M,'Sales Santa Brisa Europe SL'!$B:$B, G$1,'Sales Santa Brisa Europe SL'!$G:$G, $B$9)</f>
        <v>17488.22</v>
      </c>
      <c r="H9" s="152">
        <f>SUMIFS('Sales Santa Brisa Europe SL'!$M:$M,'Sales Santa Brisa Europe SL'!$B:$B, H$1,'Sales Santa Brisa Europe SL'!$G:$G, $B$9)</f>
        <v>0</v>
      </c>
      <c r="I9" s="152">
        <f>SUMIFS('Sales Santa Brisa Europe SL'!$M:$M,'Sales Santa Brisa Europe SL'!$B:$B, I$1,'Sales Santa Brisa Europe SL'!$G:$G, $B$9)</f>
        <v>0</v>
      </c>
      <c r="J9" s="152">
        <f>SUMIFS('Sales Santa Brisa Europe SL'!$M:$M,'Sales Santa Brisa Europe SL'!$B:$B, J$1,'Sales Santa Brisa Europe SL'!$G:$G, $B$9)</f>
        <v>0</v>
      </c>
      <c r="K9" s="152"/>
      <c r="L9" s="153">
        <f t="shared" ref="L9:L12" si="3">sum(B9:J9)</f>
        <v>17488.22</v>
      </c>
    </row>
    <row r="10">
      <c r="B10" s="154" t="s">
        <v>47</v>
      </c>
      <c r="C10" s="155">
        <f>SUMIFS('Sales Santa Brisa Europe SL'!$M:$M,'Sales Santa Brisa Europe SL'!$B:$B, C$1,'Sales Santa Brisa Europe SL'!$G:$G, $B$10)</f>
        <v>47.99</v>
      </c>
      <c r="D10" s="156">
        <f>SUMIFS('Sales Santa Brisa Europe SL'!$M:$M,'Sales Santa Brisa Europe SL'!$B:$B, D$1,'Sales Santa Brisa Europe SL'!$G:$G, $B$10)</f>
        <v>175.25</v>
      </c>
      <c r="E10" s="156">
        <f>SUMIFS('Sales Santa Brisa Europe SL'!$M:$M,'Sales Santa Brisa Europe SL'!$B:$B, E$1,'Sales Santa Brisa Europe SL'!$G:$G, $B$10)</f>
        <v>2145.67</v>
      </c>
      <c r="F10" s="156">
        <f>SUMIFS('Sales Santa Brisa Europe SL'!$M:$M,'Sales Santa Brisa Europe SL'!$B:$B, F$1,'Sales Santa Brisa Europe SL'!$G:$G, $B$10)</f>
        <v>2782.88</v>
      </c>
      <c r="G10" s="156">
        <f>SUMIFS('Sales Santa Brisa Europe SL'!$M:$M,'Sales Santa Brisa Europe SL'!$B:$B, G$1,'Sales Santa Brisa Europe SL'!$G:$G, $B$10)</f>
        <v>812.9</v>
      </c>
      <c r="H10" s="156">
        <f>SUMIFS('Sales Santa Brisa Europe SL'!$M:$M,'Sales Santa Brisa Europe SL'!$B:$B, H$1,'Sales Santa Brisa Europe SL'!$G:$G, $B$10)</f>
        <v>0</v>
      </c>
      <c r="I10" s="156">
        <f>SUMIFS('Sales Santa Brisa Europe SL'!$M:$M,'Sales Santa Brisa Europe SL'!$B:$B, I$1,'Sales Santa Brisa Europe SL'!$G:$G, $B$10)</f>
        <v>0</v>
      </c>
      <c r="J10" s="156">
        <f>SUMIFS('Sales Santa Brisa Europe SL'!$M:$M,'Sales Santa Brisa Europe SL'!$B:$B, J$1,'Sales Santa Brisa Europe SL'!$G:$G, $B$10)</f>
        <v>0</v>
      </c>
      <c r="K10" s="156"/>
      <c r="L10" s="157">
        <f t="shared" si="3"/>
        <v>5964.69</v>
      </c>
    </row>
    <row r="11">
      <c r="B11" s="158" t="s">
        <v>57</v>
      </c>
      <c r="C11" s="159">
        <f>SUMIFS('Sales Santa Brisa Europe SL'!$M:$M,'Sales Santa Brisa Europe SL'!$B:$B, C$1,'Sales Santa Brisa Europe SL'!$G:$G, $B$11)</f>
        <v>0</v>
      </c>
      <c r="D11" s="160">
        <f>SUMIFS('Sales Santa Brisa Europe SL'!$M:$M,'Sales Santa Brisa Europe SL'!$B:$B, D$1,'Sales Santa Brisa Europe SL'!$G:$G, $B$11)</f>
        <v>768</v>
      </c>
      <c r="E11" s="160">
        <f>SUMIFS('Sales Santa Brisa Europe SL'!$M:$M,'Sales Santa Brisa Europe SL'!$B:$B, E$1,'Sales Santa Brisa Europe SL'!$G:$G, $B$11)</f>
        <v>1854</v>
      </c>
      <c r="F11" s="160">
        <f>SUMIFS('Sales Santa Brisa Europe SL'!$M:$M,'Sales Santa Brisa Europe SL'!$B:$B, F$1,'Sales Santa Brisa Europe SL'!$G:$G, $B$11)</f>
        <v>0</v>
      </c>
      <c r="G11" s="160">
        <f>SUMIFS('Sales Santa Brisa Europe SL'!$M:$M,'Sales Santa Brisa Europe SL'!$B:$B, G$1,'Sales Santa Brisa Europe SL'!$G:$G, $B$11)</f>
        <v>1815.18</v>
      </c>
      <c r="H11" s="160">
        <f>SUMIFS('Sales Santa Brisa Europe SL'!$M:$M,'Sales Santa Brisa Europe SL'!$B:$B, H$1,'Sales Santa Brisa Europe SL'!$G:$G, $B$11)</f>
        <v>0</v>
      </c>
      <c r="I11" s="160">
        <f>SUMIFS('Sales Santa Brisa Europe SL'!$M:$M,'Sales Santa Brisa Europe SL'!$B:$B, I$1,'Sales Santa Brisa Europe SL'!$G:$G, $B$11)</f>
        <v>0</v>
      </c>
      <c r="J11" s="160">
        <f>SUMIFS('Sales Santa Brisa Europe SL'!$M:$M,'Sales Santa Brisa Europe SL'!$B:$B, J$1,'Sales Santa Brisa Europe SL'!$G:$G, $B$11)</f>
        <v>0</v>
      </c>
      <c r="K11" s="160"/>
      <c r="L11" s="161">
        <f t="shared" si="3"/>
        <v>4437.18</v>
      </c>
    </row>
    <row r="12">
      <c r="B12" s="162" t="s">
        <v>19</v>
      </c>
      <c r="C12" s="163">
        <f>SUMIFS('Sales Santa Brisa Europe SL'!$M:$M,'Sales Santa Brisa Europe SL'!$B:$B, C$1,'Sales Santa Brisa Europe SL'!$G:$G, $B$12)</f>
        <v>0</v>
      </c>
      <c r="D12" s="164">
        <f>SUMIFS('Sales Santa Brisa Europe SL'!$M:$M,'Sales Santa Brisa Europe SL'!$B:$B, D$1,'Sales Santa Brisa Europe SL'!$G:$G, $B$12)</f>
        <v>0</v>
      </c>
      <c r="E12" s="164">
        <f>SUMIFS('Sales Santa Brisa Europe SL'!$M:$M,'Sales Santa Brisa Europe SL'!$B:$B, E$1,'Sales Santa Brisa Europe SL'!$G:$G, $B$12)</f>
        <v>0</v>
      </c>
      <c r="F12" s="164">
        <f>SUMIFS('Sales Santa Brisa Europe SL'!$M:$M,'Sales Santa Brisa Europe SL'!$B:$B, F$1,'Sales Santa Brisa Europe SL'!$G:$G, $B$12)</f>
        <v>0</v>
      </c>
      <c r="G12" s="164">
        <f>SUMIFS('Sales Santa Brisa Europe SL'!$M:$M,'Sales Santa Brisa Europe SL'!$B:$B, G$1,'Sales Santa Brisa Europe SL'!$G:$G, $B$12)</f>
        <v>508.2</v>
      </c>
      <c r="H12" s="164">
        <f>SUMIFS('Sales Santa Brisa Europe SL'!$M:$M,'Sales Santa Brisa Europe SL'!$B:$B, H$1,'Sales Santa Brisa Europe SL'!$G:$G, $B$12)</f>
        <v>0</v>
      </c>
      <c r="I12" s="164">
        <f>SUMIFS('Sales Santa Brisa Europe SL'!$M:$M,'Sales Santa Brisa Europe SL'!$B:$B, I$1,'Sales Santa Brisa Europe SL'!$G:$G, $B$12)</f>
        <v>0</v>
      </c>
      <c r="J12" s="164">
        <f>SUMIFS('Sales Santa Brisa Europe SL'!$M:$M,'Sales Santa Brisa Europe SL'!$B:$B, J$1,'Sales Santa Brisa Europe SL'!$G:$G, $B$12)</f>
        <v>0</v>
      </c>
      <c r="K12" s="164"/>
      <c r="L12" s="165">
        <f t="shared" si="3"/>
        <v>508.2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8" t="s">
        <v>156</v>
      </c>
      <c r="D2" s="8" t="s">
        <v>157</v>
      </c>
    </row>
    <row r="3">
      <c r="B3" s="8">
        <v>18.0</v>
      </c>
      <c r="C3" s="166">
        <f>sumif('Sales Santa Brisa Europe SL'!$C:$C,B3,'Sales Santa Brisa Europe SL'!$M:$M)</f>
        <v>0</v>
      </c>
      <c r="D3" s="135">
        <f>sumif('Sales Santa Brisa Europe SL'!$C:$C,$B3,'Sales Santa Brisa Europe SL'!$K:$K)</f>
        <v>0</v>
      </c>
      <c r="E3" s="166"/>
      <c r="F3" s="166"/>
      <c r="G3" s="166"/>
      <c r="H3" s="166"/>
      <c r="I3" s="166"/>
    </row>
    <row r="4">
      <c r="B4" s="8">
        <v>19.0</v>
      </c>
      <c r="C4" s="166">
        <f>sumif('Sales Santa Brisa Europe SL'!$C:$C,B4,'Sales Santa Brisa Europe SL'!$M:$M)</f>
        <v>0</v>
      </c>
      <c r="D4" s="135">
        <f>sumif('Sales Santa Brisa Europe SL'!$C:$C,$B4,'Sales Santa Brisa Europe SL'!$K:$K)</f>
        <v>0</v>
      </c>
      <c r="E4" s="166"/>
      <c r="F4" s="166"/>
      <c r="G4" s="166"/>
      <c r="H4" s="166"/>
      <c r="I4" s="166"/>
    </row>
    <row r="5">
      <c r="B5" s="8">
        <v>20.0</v>
      </c>
      <c r="C5" s="166">
        <f>sumif('Sales Santa Brisa Europe SL'!$C:$C,B5,'Sales Santa Brisa Europe SL'!$M:$M)</f>
        <v>0</v>
      </c>
      <c r="D5" s="135">
        <f>sumif('Sales Santa Brisa Europe SL'!$C:$C,$B5,'Sales Santa Brisa Europe SL'!$K:$K)</f>
        <v>0</v>
      </c>
      <c r="E5" s="166"/>
      <c r="F5" s="166"/>
      <c r="G5" s="166"/>
      <c r="H5" s="166"/>
      <c r="I5" s="166"/>
    </row>
    <row r="6">
      <c r="B6" s="8">
        <v>21.0</v>
      </c>
      <c r="C6" s="166">
        <f>sumif('Sales Santa Brisa Europe SL'!$C:$C,B6,'Sales Santa Brisa Europe SL'!$M:$M)</f>
        <v>0</v>
      </c>
      <c r="D6" s="135">
        <f>sumif('Sales Santa Brisa Europe SL'!$C:$C,$B6,'Sales Santa Brisa Europe SL'!$K:$K)</f>
        <v>0</v>
      </c>
      <c r="E6" s="166"/>
      <c r="F6" s="166"/>
      <c r="G6" s="166"/>
      <c r="H6" s="166"/>
      <c r="I6" s="166"/>
    </row>
    <row r="7">
      <c r="B7" s="8">
        <v>22.0</v>
      </c>
      <c r="C7" s="166">
        <f>sumif('Sales Santa Brisa Europe SL'!$C:$C,B7,'Sales Santa Brisa Europe SL'!$M:$M)</f>
        <v>47.99</v>
      </c>
      <c r="D7" s="135">
        <f>sumif('Sales Santa Brisa Europe SL'!$C:$C,$B7,'Sales Santa Brisa Europe SL'!$K:$K)</f>
        <v>1</v>
      </c>
      <c r="E7" s="166"/>
      <c r="F7" s="166"/>
      <c r="G7" s="166"/>
      <c r="H7" s="166"/>
      <c r="I7" s="166"/>
    </row>
    <row r="8">
      <c r="B8" s="8">
        <v>23.0</v>
      </c>
      <c r="C8" s="166">
        <f>sumif('Sales Santa Brisa Europe SL'!$C:$C,B8,'Sales Santa Brisa Europe SL'!$M:$M)</f>
        <v>0</v>
      </c>
      <c r="D8" s="135">
        <f>sumif('Sales Santa Brisa Europe SL'!$C:$C,$B8,'Sales Santa Brisa Europe SL'!$K:$K)</f>
        <v>0</v>
      </c>
      <c r="E8" s="166"/>
      <c r="F8" s="166"/>
      <c r="G8" s="166"/>
      <c r="H8" s="166"/>
      <c r="I8" s="166"/>
    </row>
    <row r="9">
      <c r="B9" s="8">
        <v>24.0</v>
      </c>
      <c r="C9" s="166">
        <f>sumif('Sales Santa Brisa Europe SL'!$C:$C,B9,'Sales Santa Brisa Europe SL'!$M:$M)</f>
        <v>0</v>
      </c>
      <c r="D9" s="135">
        <f>sumif('Sales Santa Brisa Europe SL'!$C:$C,$B9,'Sales Santa Brisa Europe SL'!$K:$K)</f>
        <v>0</v>
      </c>
      <c r="E9" s="166"/>
      <c r="F9" s="166"/>
      <c r="G9" s="166"/>
      <c r="H9" s="166"/>
      <c r="I9" s="166"/>
    </row>
    <row r="10">
      <c r="B10" s="8">
        <v>25.0</v>
      </c>
      <c r="C10" s="166">
        <f>sumif('Sales Santa Brisa Europe SL'!$C:$C,B10,'Sales Santa Brisa Europe SL'!$M:$M)</f>
        <v>0</v>
      </c>
      <c r="D10" s="135">
        <f>sumif('Sales Santa Brisa Europe SL'!$C:$C,$B10,'Sales Santa Brisa Europe SL'!$K:$K)</f>
        <v>0</v>
      </c>
      <c r="E10" s="166"/>
      <c r="F10" s="166"/>
      <c r="G10" s="166"/>
      <c r="H10" s="166"/>
      <c r="I10" s="166"/>
    </row>
    <row r="11">
      <c r="B11" s="8">
        <v>26.0</v>
      </c>
      <c r="C11" s="166">
        <f>sumif('Sales Santa Brisa Europe SL'!$C:$C,B11,'Sales Santa Brisa Europe SL'!$M:$M)</f>
        <v>943.25</v>
      </c>
      <c r="D11" s="135">
        <f>sumif('Sales Santa Brisa Europe SL'!$C:$C,$B11,'Sales Santa Brisa Europe SL'!$K:$K)</f>
        <v>106</v>
      </c>
      <c r="E11" s="166"/>
      <c r="F11" s="166"/>
      <c r="G11" s="166"/>
      <c r="H11" s="166"/>
      <c r="I11" s="166"/>
    </row>
    <row r="12">
      <c r="B12" s="8">
        <v>27.0</v>
      </c>
      <c r="C12" s="166">
        <f>sumif('Sales Santa Brisa Europe SL'!$C:$C,B12,'Sales Santa Brisa Europe SL'!$M:$M)</f>
        <v>1564.37</v>
      </c>
      <c r="D12" s="135">
        <f>sumif('Sales Santa Brisa Europe SL'!$C:$C,$B12,'Sales Santa Brisa Europe SL'!$K:$K)</f>
        <v>186</v>
      </c>
      <c r="E12" s="166"/>
      <c r="F12" s="166"/>
      <c r="G12" s="166"/>
      <c r="H12" s="166"/>
      <c r="I12" s="166"/>
    </row>
    <row r="13">
      <c r="B13" s="8">
        <v>28.0</v>
      </c>
      <c r="C13" s="166">
        <f>sumif('Sales Santa Brisa Europe SL'!$C:$C,B13,'Sales Santa Brisa Europe SL'!$M:$M)</f>
        <v>0</v>
      </c>
      <c r="D13" s="135">
        <f>sumif('Sales Santa Brisa Europe SL'!$C:$C,$B13,'Sales Santa Brisa Europe SL'!$K:$K)</f>
        <v>0</v>
      </c>
      <c r="E13" s="166"/>
      <c r="F13" s="166"/>
      <c r="G13" s="166"/>
      <c r="H13" s="166"/>
      <c r="I13" s="166"/>
    </row>
    <row r="14">
      <c r="B14" s="8">
        <v>29.0</v>
      </c>
      <c r="C14" s="166">
        <f>sumif('Sales Santa Brisa Europe SL'!$C:$C,B14,'Sales Santa Brisa Europe SL'!$M:$M)</f>
        <v>304.1</v>
      </c>
      <c r="D14" s="135">
        <f>sumif('Sales Santa Brisa Europe SL'!$C:$C,$B14,'Sales Santa Brisa Europe SL'!$K:$K)</f>
        <v>14</v>
      </c>
      <c r="E14" s="166"/>
      <c r="F14" s="166"/>
      <c r="G14" s="166"/>
      <c r="H14" s="166"/>
      <c r="I14" s="166"/>
    </row>
    <row r="15">
      <c r="B15" s="8">
        <v>30.0</v>
      </c>
      <c r="C15" s="166">
        <f>sumif('Sales Santa Brisa Europe SL'!$C:$C,B15,'Sales Santa Brisa Europe SL'!$M:$M)</f>
        <v>264</v>
      </c>
      <c r="D15" s="135">
        <f>sumif('Sales Santa Brisa Europe SL'!$C:$C,$B15,'Sales Santa Brisa Europe SL'!$K:$K)</f>
        <v>12</v>
      </c>
      <c r="E15" s="166"/>
      <c r="F15" s="166"/>
      <c r="G15" s="166"/>
      <c r="H15" s="166"/>
      <c r="I15" s="166"/>
    </row>
    <row r="16">
      <c r="B16" s="8">
        <v>31.0</v>
      </c>
      <c r="C16" s="166">
        <f>sumif('Sales Santa Brisa Europe SL'!$C:$C,B16,'Sales Santa Brisa Europe SL'!$M:$M)</f>
        <v>2038.8</v>
      </c>
      <c r="D16" s="135">
        <f>sumif('Sales Santa Brisa Europe SL'!$C:$C,$B16,'Sales Santa Brisa Europe SL'!$K:$K)</f>
        <v>126</v>
      </c>
      <c r="E16" s="166"/>
      <c r="F16" s="166"/>
      <c r="G16" s="166"/>
      <c r="H16" s="166"/>
      <c r="I16" s="166"/>
    </row>
    <row r="17">
      <c r="B17" s="8">
        <v>32.0</v>
      </c>
      <c r="C17" s="166">
        <f>sumif('Sales Santa Brisa Europe SL'!$C:$C,B17,'Sales Santa Brisa Europe SL'!$M:$M)</f>
        <v>855.5</v>
      </c>
      <c r="D17" s="135">
        <f>sumif('Sales Santa Brisa Europe SL'!$C:$C,$B17,'Sales Santa Brisa Europe SL'!$K:$K)</f>
        <v>47</v>
      </c>
      <c r="E17" s="166"/>
      <c r="F17" s="166"/>
      <c r="G17" s="166"/>
      <c r="H17" s="166"/>
      <c r="I17" s="166"/>
    </row>
    <row r="18">
      <c r="B18" s="8">
        <v>33.0</v>
      </c>
      <c r="C18" s="166">
        <f>sumif('Sales Santa Brisa Europe SL'!$C:$C,B18,'Sales Santa Brisa Europe SL'!$M:$M)</f>
        <v>153.38</v>
      </c>
      <c r="D18" s="135">
        <f>sumif('Sales Santa Brisa Europe SL'!$C:$C,$B18,'Sales Santa Brisa Europe SL'!$K:$K)</f>
        <v>8</v>
      </c>
      <c r="E18" s="166"/>
      <c r="F18" s="166"/>
      <c r="G18" s="166"/>
      <c r="H18" s="166"/>
      <c r="I18" s="166"/>
    </row>
    <row r="19">
      <c r="B19" s="8">
        <v>34.0</v>
      </c>
      <c r="C19" s="166">
        <f>sumif('Sales Santa Brisa Europe SL'!$C:$C,B19,'Sales Santa Brisa Europe SL'!$M:$M)</f>
        <v>541.2</v>
      </c>
      <c r="D19" s="135">
        <f>sumif('Sales Santa Brisa Europe SL'!$C:$C,$B19,'Sales Santa Brisa Europe SL'!$K:$K)</f>
        <v>30</v>
      </c>
      <c r="E19" s="166"/>
      <c r="F19" s="166"/>
      <c r="G19" s="166"/>
      <c r="H19" s="166"/>
      <c r="I19" s="166"/>
    </row>
    <row r="20">
      <c r="B20" s="8">
        <v>35.0</v>
      </c>
      <c r="C20" s="166">
        <f>sumif('Sales Santa Brisa Europe SL'!$C:$C,B20,'Sales Santa Brisa Europe SL'!$M:$M)</f>
        <v>264.1</v>
      </c>
      <c r="D20" s="135">
        <f>sumif('Sales Santa Brisa Europe SL'!$C:$C,$B20,'Sales Santa Brisa Europe SL'!$K:$K)</f>
        <v>13</v>
      </c>
      <c r="E20" s="166"/>
      <c r="F20" s="166"/>
      <c r="G20" s="166"/>
      <c r="H20" s="166"/>
      <c r="I20" s="166"/>
    </row>
    <row r="21">
      <c r="B21" s="8">
        <v>36.0</v>
      </c>
      <c r="C21" s="166">
        <f>sumif('Sales Santa Brisa Europe SL'!$C:$C,B21,'Sales Santa Brisa Europe SL'!$M:$M)</f>
        <v>957.2</v>
      </c>
      <c r="D21" s="135">
        <f>sumif('Sales Santa Brisa Europe SL'!$C:$C,$B21,'Sales Santa Brisa Europe SL'!$K:$K)</f>
        <v>45</v>
      </c>
    </row>
    <row r="22">
      <c r="B22" s="8">
        <v>37.0</v>
      </c>
      <c r="C22" s="166">
        <f>sumif('Sales Santa Brisa Europe SL'!$C:$C,B22,'Sales Santa Brisa Europe SL'!$M:$M)</f>
        <v>12491.89</v>
      </c>
      <c r="D22" s="135">
        <f>sumif('Sales Santa Brisa Europe SL'!$C:$C,$B22,'Sales Santa Brisa Europe SL'!$K:$K)</f>
        <v>1109</v>
      </c>
    </row>
    <row r="23">
      <c r="B23" s="8">
        <v>38.0</v>
      </c>
      <c r="C23" s="166">
        <f>sumif('Sales Santa Brisa Europe SL'!$C:$C,B23,'Sales Santa Brisa Europe SL'!$M:$M)</f>
        <v>105.6</v>
      </c>
      <c r="D23" s="135">
        <f>sumif('Sales Santa Brisa Europe SL'!$C:$C,$B23,'Sales Santa Brisa Europe SL'!$K:$K)</f>
        <v>6</v>
      </c>
    </row>
    <row r="24">
      <c r="B24" s="8">
        <v>39.0</v>
      </c>
      <c r="C24" s="166">
        <f>sumif('Sales Santa Brisa Europe SL'!$C:$C,B24,'Sales Santa Brisa Europe SL'!$M:$M)</f>
        <v>7761.31</v>
      </c>
      <c r="D24" s="135">
        <f>sumif('Sales Santa Brisa Europe SL'!$C:$C,$B24,'Sales Santa Brisa Europe SL'!$K:$K)</f>
        <v>751</v>
      </c>
    </row>
    <row r="25">
      <c r="B25" s="8">
        <v>40.0</v>
      </c>
      <c r="C25" s="166">
        <f>sumif('Sales Santa Brisa Europe SL'!$C:$C,B25,'Sales Santa Brisa Europe SL'!$M:$M)</f>
        <v>105.6</v>
      </c>
      <c r="D25" s="135">
        <f>sumif('Sales Santa Brisa Europe SL'!$C:$C,$B25,'Sales Santa Brisa Europe SL'!$K:$K)</f>
        <v>6</v>
      </c>
    </row>
    <row r="26">
      <c r="B26" s="8">
        <v>41.0</v>
      </c>
      <c r="C26" s="166">
        <f>sumif('Sales Santa Brisa Europe SL'!$C:$C,B26,'Sales Santa Brisa Europe SL'!$M:$M)</f>
        <v>0</v>
      </c>
      <c r="D26" s="135">
        <f>sumif('Sales Santa Brisa Europe SL'!$C:$C,$B26,'Sales Santa Brisa Europe SL'!$K:$K)</f>
        <v>0</v>
      </c>
    </row>
    <row r="27">
      <c r="B27" s="8">
        <v>42.0</v>
      </c>
      <c r="C27" s="166">
        <f>sumif('Sales Santa Brisa Europe SL'!$C:$C,B27,'Sales Santa Brisa Europe SL'!$M:$M)</f>
        <v>0</v>
      </c>
      <c r="D27" s="135">
        <f>sumif('Sales Santa Brisa Europe SL'!$C:$C,$B27,'Sales Santa Brisa Europe SL'!$K:$K)</f>
        <v>0</v>
      </c>
    </row>
    <row r="28">
      <c r="B28" s="8">
        <v>43.0</v>
      </c>
      <c r="C28" s="166">
        <f>sumif('Sales Santa Brisa Europe SL'!$C:$C,B28,'Sales Santa Brisa Europe SL'!$M:$M)</f>
        <v>0</v>
      </c>
      <c r="D28" s="135">
        <f>sumif('Sales Santa Brisa Europe SL'!$C:$C,$B28,'Sales Santa Brisa Europe SL'!$K:$K)</f>
        <v>0</v>
      </c>
    </row>
    <row r="29">
      <c r="B29" s="8">
        <v>44.0</v>
      </c>
      <c r="C29" s="166">
        <f>sumif('Sales Santa Brisa Europe SL'!$C:$C,B29,'Sales Santa Brisa Europe SL'!$M:$M)</f>
        <v>0</v>
      </c>
      <c r="D29" s="135">
        <f>sumif('Sales Santa Brisa Europe SL'!$C:$C,$B29,'Sales Santa Brisa Europe SL'!$K:$K)</f>
        <v>0</v>
      </c>
    </row>
    <row r="30">
      <c r="B30" s="8">
        <v>45.0</v>
      </c>
      <c r="C30" s="166">
        <f>sumif('Sales Santa Brisa Europe SL'!$C:$C,B30,'Sales Santa Brisa Europe SL'!$M:$M)</f>
        <v>0</v>
      </c>
      <c r="D30" s="135">
        <f>sumif('Sales Santa Brisa Europe SL'!$C:$C,$B30,'Sales Santa Brisa Europe SL'!$K:$K)</f>
        <v>0</v>
      </c>
    </row>
    <row r="31">
      <c r="B31" s="8">
        <v>46.0</v>
      </c>
      <c r="C31" s="166">
        <f>sumif('Sales Santa Brisa Europe SL'!$C:$C,B31,'Sales Santa Brisa Europe SL'!$M:$M)</f>
        <v>0</v>
      </c>
      <c r="D31" s="135">
        <f>sumif('Sales Santa Brisa Europe SL'!$C:$C,$B31,'Sales Santa Brisa Europe SL'!$K:$K)</f>
        <v>0</v>
      </c>
    </row>
    <row r="32">
      <c r="B32" s="8">
        <v>47.0</v>
      </c>
      <c r="C32" s="166">
        <f>sumif('Sales Santa Brisa Europe SL'!$C:$C,B32,'Sales Santa Brisa Europe SL'!$M:$M)</f>
        <v>0</v>
      </c>
      <c r="D32" s="135">
        <f>sumif('Sales Santa Brisa Europe SL'!$C:$C,$B32,'Sales Santa Brisa Europe SL'!$K:$K)</f>
        <v>0</v>
      </c>
    </row>
    <row r="33">
      <c r="B33" s="8">
        <v>48.0</v>
      </c>
      <c r="C33" s="166">
        <f>sumif('Sales Santa Brisa Europe SL'!$C:$C,B33,'Sales Santa Brisa Europe SL'!$M:$M)</f>
        <v>0</v>
      </c>
      <c r="D33" s="135">
        <f>sumif('Sales Santa Brisa Europe SL'!$C:$C,$B33,'Sales Santa Brisa Europe SL'!$K:$K)</f>
        <v>0</v>
      </c>
    </row>
    <row r="34">
      <c r="B34" s="8">
        <v>49.0</v>
      </c>
      <c r="C34" s="166">
        <f>sumif('Sales Santa Brisa Europe SL'!$C:$C,B34,'Sales Santa Brisa Europe SL'!$M:$M)</f>
        <v>0</v>
      </c>
      <c r="D34" s="135">
        <f>sumif('Sales Santa Brisa Europe SL'!$C:$C,$B34,'Sales Santa Brisa Europe SL'!$K:$K)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6" max="6" width="21.0"/>
    <col customWidth="1" hidden="1" min="7" max="7" width="13.88"/>
    <col hidden="1" min="9" max="11" width="12.63"/>
    <col customWidth="1" min="12" max="12" width="15.75"/>
    <col hidden="1" min="13" max="16" width="12.63"/>
    <col customWidth="1" min="18" max="18" width="13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8</v>
      </c>
      <c r="H1" s="2" t="s">
        <v>9</v>
      </c>
      <c r="I1" s="2" t="s">
        <v>158</v>
      </c>
      <c r="J1" s="2" t="s">
        <v>10</v>
      </c>
      <c r="K1" s="1" t="s">
        <v>11</v>
      </c>
      <c r="L1" s="1" t="s">
        <v>12</v>
      </c>
      <c r="M1" s="5" t="s">
        <v>13</v>
      </c>
      <c r="N1" s="1" t="s">
        <v>14</v>
      </c>
      <c r="O1" s="1" t="s">
        <v>108</v>
      </c>
      <c r="P1" s="1" t="s">
        <v>6</v>
      </c>
      <c r="Q1" s="1" t="s">
        <v>15</v>
      </c>
      <c r="R1" s="1" t="s">
        <v>16</v>
      </c>
      <c r="S1" s="6"/>
    </row>
    <row r="2">
      <c r="A2" s="7">
        <v>45846.0</v>
      </c>
      <c r="B2" s="41">
        <v>7.0</v>
      </c>
      <c r="C2" s="16">
        <f t="shared" ref="C2:C16" si="1">WEEKNUM((A2))</f>
        <v>28</v>
      </c>
      <c r="D2" s="3">
        <v>2025.0</v>
      </c>
      <c r="E2" s="6"/>
      <c r="F2" s="9" t="s">
        <v>159</v>
      </c>
      <c r="G2" s="9"/>
      <c r="H2" s="9">
        <v>1.0</v>
      </c>
      <c r="I2" s="6"/>
      <c r="J2" s="6"/>
      <c r="K2" s="43"/>
      <c r="L2" s="22">
        <v>101.64</v>
      </c>
      <c r="M2" s="9"/>
      <c r="N2" s="6"/>
      <c r="O2" s="6"/>
      <c r="P2" s="6"/>
      <c r="Q2" s="9" t="s">
        <v>22</v>
      </c>
      <c r="R2" s="9" t="s">
        <v>35</v>
      </c>
      <c r="S2" s="6"/>
      <c r="T2" s="35"/>
    </row>
    <row r="3">
      <c r="A3" s="7">
        <v>45845.0</v>
      </c>
      <c r="B3" s="41">
        <v>7.0</v>
      </c>
      <c r="C3" s="16">
        <f t="shared" si="1"/>
        <v>28</v>
      </c>
      <c r="D3" s="3">
        <v>2025.0</v>
      </c>
      <c r="E3" s="6"/>
      <c r="F3" s="9" t="s">
        <v>160</v>
      </c>
      <c r="G3" s="9"/>
      <c r="H3" s="9">
        <v>1.0</v>
      </c>
      <c r="I3" s="6"/>
      <c r="J3" s="6"/>
      <c r="K3" s="43"/>
      <c r="L3" s="22">
        <v>84.7</v>
      </c>
      <c r="M3" s="9"/>
      <c r="N3" s="9"/>
      <c r="O3" s="6"/>
      <c r="P3" s="6"/>
      <c r="Q3" s="9" t="s">
        <v>22</v>
      </c>
      <c r="R3" s="9" t="s">
        <v>35</v>
      </c>
      <c r="S3" s="6"/>
      <c r="T3" s="35"/>
    </row>
    <row r="4">
      <c r="A4" s="7">
        <v>45845.0</v>
      </c>
      <c r="B4" s="41">
        <v>7.0</v>
      </c>
      <c r="C4" s="16">
        <f t="shared" si="1"/>
        <v>28</v>
      </c>
      <c r="D4" s="3">
        <v>2025.0</v>
      </c>
      <c r="E4" s="6"/>
      <c r="F4" s="9" t="s">
        <v>161</v>
      </c>
      <c r="G4" s="6"/>
      <c r="H4" s="9">
        <v>3.0</v>
      </c>
      <c r="I4" s="6"/>
      <c r="J4" s="6"/>
      <c r="K4" s="43"/>
      <c r="L4" s="22">
        <v>304.92</v>
      </c>
      <c r="M4" s="9"/>
      <c r="N4" s="6"/>
      <c r="O4" s="6"/>
      <c r="P4" s="6"/>
      <c r="Q4" s="9" t="s">
        <v>22</v>
      </c>
      <c r="R4" s="9" t="s">
        <v>35</v>
      </c>
      <c r="S4" s="6"/>
      <c r="T4" s="35"/>
    </row>
    <row r="5">
      <c r="A5" s="7">
        <v>45839.0</v>
      </c>
      <c r="B5" s="41">
        <v>7.0</v>
      </c>
      <c r="C5" s="16">
        <f t="shared" si="1"/>
        <v>27</v>
      </c>
      <c r="D5" s="3">
        <v>2025.0</v>
      </c>
      <c r="E5" s="6"/>
      <c r="F5" s="9" t="s">
        <v>162</v>
      </c>
      <c r="G5" s="6"/>
      <c r="H5" s="9">
        <v>1.0</v>
      </c>
      <c r="I5" s="6"/>
      <c r="J5" s="6"/>
      <c r="K5" s="43"/>
      <c r="L5" s="22">
        <v>101.64</v>
      </c>
      <c r="M5" s="9"/>
      <c r="N5" s="6"/>
      <c r="O5" s="6"/>
      <c r="P5" s="6"/>
      <c r="Q5" s="9" t="s">
        <v>22</v>
      </c>
      <c r="R5" s="9" t="s">
        <v>35</v>
      </c>
      <c r="S5" s="6"/>
      <c r="T5" s="35"/>
    </row>
    <row r="6">
      <c r="A6" s="7">
        <v>45839.0</v>
      </c>
      <c r="B6" s="41">
        <v>7.0</v>
      </c>
      <c r="C6" s="16">
        <f t="shared" si="1"/>
        <v>27</v>
      </c>
      <c r="D6" s="3">
        <v>2025.0</v>
      </c>
      <c r="E6" s="42"/>
      <c r="F6" s="9" t="s">
        <v>163</v>
      </c>
      <c r="G6" s="6"/>
      <c r="H6" s="9">
        <v>3.0</v>
      </c>
      <c r="I6" s="6"/>
      <c r="J6" s="6"/>
      <c r="K6" s="43"/>
      <c r="L6" s="22">
        <v>304.92</v>
      </c>
      <c r="M6" s="9"/>
      <c r="N6" s="6"/>
      <c r="O6" s="6"/>
      <c r="P6" s="6"/>
      <c r="Q6" s="9" t="s">
        <v>22</v>
      </c>
      <c r="R6" s="9" t="s">
        <v>35</v>
      </c>
      <c r="S6" s="6"/>
      <c r="T6" s="35"/>
    </row>
    <row r="7">
      <c r="A7" s="7">
        <v>45839.0</v>
      </c>
      <c r="B7" s="41">
        <v>7.0</v>
      </c>
      <c r="C7" s="16">
        <f t="shared" si="1"/>
        <v>27</v>
      </c>
      <c r="D7" s="3">
        <v>2025.0</v>
      </c>
      <c r="E7" s="6"/>
      <c r="F7" s="9" t="s">
        <v>164</v>
      </c>
      <c r="G7" s="6"/>
      <c r="H7" s="9">
        <v>1.0</v>
      </c>
      <c r="I7" s="6"/>
      <c r="J7" s="6"/>
      <c r="K7" s="43"/>
      <c r="L7" s="22">
        <v>84.7</v>
      </c>
      <c r="M7" s="9"/>
      <c r="N7" s="6"/>
      <c r="O7" s="6"/>
      <c r="P7" s="6"/>
      <c r="Q7" s="9" t="s">
        <v>22</v>
      </c>
      <c r="R7" s="9" t="s">
        <v>35</v>
      </c>
      <c r="S7" s="6"/>
      <c r="T7" s="35"/>
    </row>
    <row r="8">
      <c r="A8" s="7">
        <v>45830.0</v>
      </c>
      <c r="B8" s="41">
        <v>6.0</v>
      </c>
      <c r="C8" s="16">
        <f t="shared" si="1"/>
        <v>26</v>
      </c>
      <c r="D8" s="3">
        <v>2025.0</v>
      </c>
      <c r="E8" s="6"/>
      <c r="F8" s="9" t="s">
        <v>165</v>
      </c>
      <c r="G8" s="6"/>
      <c r="H8" s="9">
        <v>4.0</v>
      </c>
      <c r="I8" s="6"/>
      <c r="J8" s="6"/>
      <c r="K8" s="43"/>
      <c r="L8" s="22">
        <v>406.56</v>
      </c>
      <c r="M8" s="9"/>
      <c r="N8" s="6"/>
      <c r="O8" s="6"/>
      <c r="P8" s="6"/>
      <c r="Q8" s="9" t="s">
        <v>22</v>
      </c>
      <c r="R8" s="9" t="s">
        <v>35</v>
      </c>
      <c r="S8" s="6"/>
      <c r="T8" s="35"/>
    </row>
    <row r="9">
      <c r="A9" s="7">
        <v>45830.0</v>
      </c>
      <c r="B9" s="41">
        <v>6.0</v>
      </c>
      <c r="C9" s="16">
        <f t="shared" si="1"/>
        <v>26</v>
      </c>
      <c r="D9" s="3">
        <v>2025.0</v>
      </c>
      <c r="E9" s="6"/>
      <c r="F9" s="9" t="s">
        <v>166</v>
      </c>
      <c r="G9" s="6"/>
      <c r="H9" s="9">
        <v>3.0</v>
      </c>
      <c r="I9" s="6"/>
      <c r="J9" s="6"/>
      <c r="K9" s="43"/>
      <c r="L9" s="22">
        <v>304.92</v>
      </c>
      <c r="M9" s="9"/>
      <c r="N9" s="6"/>
      <c r="O9" s="6"/>
      <c r="P9" s="6"/>
      <c r="Q9" s="9" t="s">
        <v>22</v>
      </c>
      <c r="R9" s="9" t="s">
        <v>35</v>
      </c>
      <c r="S9" s="6"/>
      <c r="T9" s="35"/>
    </row>
    <row r="10">
      <c r="A10" s="7">
        <v>45823.0</v>
      </c>
      <c r="B10" s="41">
        <v>6.0</v>
      </c>
      <c r="C10" s="16">
        <f t="shared" si="1"/>
        <v>25</v>
      </c>
      <c r="D10" s="3">
        <v>2025.0</v>
      </c>
      <c r="E10" s="6"/>
      <c r="F10" s="9" t="s">
        <v>161</v>
      </c>
      <c r="G10" s="6"/>
      <c r="H10" s="9">
        <v>1.0</v>
      </c>
      <c r="I10" s="6"/>
      <c r="J10" s="6"/>
      <c r="K10" s="43"/>
      <c r="L10" s="22">
        <v>101.64</v>
      </c>
      <c r="M10" s="9"/>
      <c r="N10" s="6"/>
      <c r="O10" s="6"/>
      <c r="P10" s="6"/>
      <c r="Q10" s="9" t="s">
        <v>22</v>
      </c>
      <c r="R10" s="9" t="s">
        <v>35</v>
      </c>
      <c r="S10" s="6"/>
      <c r="T10" s="35"/>
    </row>
    <row r="11">
      <c r="A11" s="7">
        <v>45819.0</v>
      </c>
      <c r="B11" s="41">
        <v>6.0</v>
      </c>
      <c r="C11" s="16">
        <f t="shared" si="1"/>
        <v>24</v>
      </c>
      <c r="D11" s="3">
        <v>2025.0</v>
      </c>
      <c r="E11" s="42"/>
      <c r="F11" s="9" t="s">
        <v>167</v>
      </c>
      <c r="G11" s="6"/>
      <c r="H11" s="9">
        <v>2.0</v>
      </c>
      <c r="I11" s="6"/>
      <c r="J11" s="6"/>
      <c r="K11" s="43"/>
      <c r="L11" s="22">
        <v>203.28</v>
      </c>
      <c r="M11" s="9"/>
      <c r="N11" s="6"/>
      <c r="O11" s="6"/>
      <c r="P11" s="6"/>
      <c r="Q11" s="9" t="s">
        <v>22</v>
      </c>
      <c r="R11" s="9" t="s">
        <v>35</v>
      </c>
      <c r="S11" s="6"/>
      <c r="T11" s="35"/>
    </row>
    <row r="12">
      <c r="A12" s="7">
        <v>45826.0</v>
      </c>
      <c r="B12" s="41">
        <v>6.0</v>
      </c>
      <c r="C12" s="16">
        <f t="shared" si="1"/>
        <v>25</v>
      </c>
      <c r="D12" s="3">
        <v>2025.0</v>
      </c>
      <c r="E12" s="42"/>
      <c r="F12" s="9" t="s">
        <v>160</v>
      </c>
      <c r="G12" s="6"/>
      <c r="H12" s="9">
        <v>2.0</v>
      </c>
      <c r="I12" s="6"/>
      <c r="J12" s="6"/>
      <c r="K12" s="43"/>
      <c r="L12" s="22">
        <v>203.28</v>
      </c>
      <c r="M12" s="9"/>
      <c r="N12" s="6"/>
      <c r="O12" s="6"/>
      <c r="P12" s="6"/>
      <c r="Q12" s="9" t="s">
        <v>22</v>
      </c>
      <c r="R12" s="9" t="s">
        <v>35</v>
      </c>
      <c r="S12" s="6"/>
      <c r="T12" s="35"/>
    </row>
    <row r="13">
      <c r="A13" s="7">
        <v>45826.0</v>
      </c>
      <c r="B13" s="41">
        <v>6.0</v>
      </c>
      <c r="C13" s="16">
        <f t="shared" si="1"/>
        <v>25</v>
      </c>
      <c r="D13" s="3">
        <v>2025.0</v>
      </c>
      <c r="E13" s="42"/>
      <c r="F13" s="9" t="s">
        <v>161</v>
      </c>
      <c r="G13" s="6"/>
      <c r="H13" s="9">
        <v>3.0</v>
      </c>
      <c r="I13" s="6"/>
      <c r="J13" s="6"/>
      <c r="K13" s="43"/>
      <c r="L13" s="22">
        <v>304.92</v>
      </c>
      <c r="M13" s="9"/>
      <c r="N13" s="6"/>
      <c r="O13" s="6"/>
      <c r="P13" s="6"/>
      <c r="Q13" s="9" t="s">
        <v>22</v>
      </c>
      <c r="R13" s="9" t="s">
        <v>35</v>
      </c>
      <c r="S13" s="6"/>
      <c r="T13" s="35"/>
    </row>
    <row r="14">
      <c r="A14" s="7">
        <v>45826.0</v>
      </c>
      <c r="B14" s="41">
        <v>6.0</v>
      </c>
      <c r="C14" s="16">
        <f t="shared" si="1"/>
        <v>25</v>
      </c>
      <c r="D14" s="3">
        <v>2025.0</v>
      </c>
      <c r="E14" s="42"/>
      <c r="F14" s="9" t="s">
        <v>168</v>
      </c>
      <c r="G14" s="6"/>
      <c r="H14" s="9">
        <v>4.0</v>
      </c>
      <c r="I14" s="6"/>
      <c r="J14" s="6"/>
      <c r="K14" s="43"/>
      <c r="L14" s="22">
        <v>406.56</v>
      </c>
      <c r="M14" s="9"/>
      <c r="N14" s="6"/>
      <c r="O14" s="6"/>
      <c r="P14" s="6"/>
      <c r="Q14" s="9" t="s">
        <v>22</v>
      </c>
      <c r="R14" s="9" t="s">
        <v>35</v>
      </c>
      <c r="S14" s="6"/>
      <c r="T14" s="35"/>
    </row>
    <row r="15">
      <c r="A15" s="7">
        <v>45813.0</v>
      </c>
      <c r="B15" s="41">
        <v>6.0</v>
      </c>
      <c r="C15" s="16">
        <f t="shared" si="1"/>
        <v>23</v>
      </c>
      <c r="D15" s="3">
        <v>2025.0</v>
      </c>
      <c r="E15" s="6"/>
      <c r="F15" s="9" t="s">
        <v>169</v>
      </c>
      <c r="G15" s="6"/>
      <c r="H15" s="9">
        <v>3.0</v>
      </c>
      <c r="I15" s="6"/>
      <c r="J15" s="6"/>
      <c r="K15" s="43"/>
      <c r="L15" s="22">
        <v>304.92</v>
      </c>
      <c r="M15" s="9"/>
      <c r="N15" s="6"/>
      <c r="O15" s="6"/>
      <c r="P15" s="6"/>
      <c r="Q15" s="9" t="s">
        <v>22</v>
      </c>
      <c r="R15" s="9" t="s">
        <v>35</v>
      </c>
      <c r="S15" s="6"/>
      <c r="T15" s="35"/>
    </row>
    <row r="16">
      <c r="A16" s="7">
        <v>45804.0</v>
      </c>
      <c r="B16" s="41">
        <v>5.0</v>
      </c>
      <c r="C16" s="16">
        <f t="shared" si="1"/>
        <v>22</v>
      </c>
      <c r="D16" s="3">
        <v>2025.0</v>
      </c>
      <c r="E16" s="42"/>
      <c r="F16" s="9" t="s">
        <v>166</v>
      </c>
      <c r="G16" s="6"/>
      <c r="H16" s="9">
        <v>1.0</v>
      </c>
      <c r="I16" s="6"/>
      <c r="J16" s="6"/>
      <c r="K16" s="43"/>
      <c r="L16" s="22">
        <v>101.64</v>
      </c>
      <c r="M16" s="9"/>
      <c r="N16" s="6"/>
      <c r="O16" s="6"/>
      <c r="P16" s="6"/>
      <c r="Q16" s="9" t="s">
        <v>22</v>
      </c>
      <c r="R16" s="9" t="s">
        <v>35</v>
      </c>
      <c r="S16" s="6"/>
      <c r="T16" s="35"/>
    </row>
    <row r="22">
      <c r="A22" s="167">
        <v>45937.0</v>
      </c>
      <c r="B22" s="168">
        <v>4.300990001E9</v>
      </c>
      <c r="C22" s="169" t="s">
        <v>170</v>
      </c>
      <c r="D22" s="168" t="s">
        <v>171</v>
      </c>
      <c r="E22" s="168" t="s">
        <v>172</v>
      </c>
      <c r="F22" s="168" t="s">
        <v>173</v>
      </c>
      <c r="G22" s="168" t="s">
        <v>174</v>
      </c>
      <c r="H22" s="170">
        <v>1727.88</v>
      </c>
      <c r="I22" s="168">
        <v>120.0</v>
      </c>
      <c r="J22" s="168">
        <v>1.0</v>
      </c>
    </row>
    <row r="23">
      <c r="A23" s="169" t="s">
        <v>175</v>
      </c>
      <c r="B23" s="167">
        <v>45937.0</v>
      </c>
      <c r="C23" s="168">
        <v>4.300990002E9</v>
      </c>
      <c r="D23" s="169" t="s">
        <v>176</v>
      </c>
      <c r="E23" s="168" t="s">
        <v>177</v>
      </c>
      <c r="F23" s="168" t="s">
        <v>172</v>
      </c>
      <c r="G23" s="168" t="s">
        <v>178</v>
      </c>
      <c r="H23" s="168">
        <v>304.92</v>
      </c>
      <c r="I23" s="171"/>
      <c r="J23" s="168">
        <v>18.0</v>
      </c>
      <c r="K23" s="168">
        <v>1.0</v>
      </c>
    </row>
    <row r="24">
      <c r="A24" s="169" t="s">
        <v>179</v>
      </c>
      <c r="B24" s="167">
        <v>45937.0</v>
      </c>
      <c r="C24" s="168">
        <v>4.300990006E9</v>
      </c>
      <c r="D24" s="169" t="s">
        <v>180</v>
      </c>
      <c r="E24" s="168" t="s">
        <v>181</v>
      </c>
      <c r="F24" s="168" t="s">
        <v>172</v>
      </c>
      <c r="G24" s="168" t="s">
        <v>182</v>
      </c>
      <c r="H24" s="168">
        <v>406.56</v>
      </c>
      <c r="I24" s="171"/>
      <c r="J24" s="168">
        <v>24.0</v>
      </c>
      <c r="K24" s="168">
        <v>1.0</v>
      </c>
    </row>
    <row r="25">
      <c r="A25" s="169" t="s">
        <v>183</v>
      </c>
      <c r="B25" s="167">
        <v>45937.0</v>
      </c>
      <c r="C25" s="168">
        <v>4.300990007E9</v>
      </c>
      <c r="D25" s="169" t="s">
        <v>184</v>
      </c>
      <c r="E25" s="168" t="s">
        <v>177</v>
      </c>
      <c r="F25" s="168" t="s">
        <v>172</v>
      </c>
      <c r="G25" s="168" t="s">
        <v>178</v>
      </c>
      <c r="H25" s="168">
        <v>304.92</v>
      </c>
      <c r="I25" s="171"/>
      <c r="J25" s="168">
        <v>18.0</v>
      </c>
      <c r="K25" s="168">
        <v>1.0</v>
      </c>
    </row>
    <row r="26">
      <c r="A26" s="169" t="s">
        <v>185</v>
      </c>
      <c r="B26" s="167">
        <v>45937.0</v>
      </c>
      <c r="C26" s="168">
        <v>4.300990008E9</v>
      </c>
      <c r="D26" s="169" t="s">
        <v>186</v>
      </c>
      <c r="E26" s="168" t="s">
        <v>187</v>
      </c>
      <c r="F26" s="168" t="s">
        <v>172</v>
      </c>
      <c r="G26" s="168" t="s">
        <v>188</v>
      </c>
      <c r="H26" s="168">
        <v>145.2</v>
      </c>
      <c r="I26" s="171"/>
      <c r="J26" s="168">
        <v>12.0</v>
      </c>
      <c r="K26" s="168">
        <v>1.0</v>
      </c>
    </row>
    <row r="27">
      <c r="A27" s="169" t="s">
        <v>189</v>
      </c>
      <c r="B27" s="167">
        <v>45937.0</v>
      </c>
      <c r="C27" s="168">
        <v>4.300990009E9</v>
      </c>
      <c r="D27" s="169" t="s">
        <v>190</v>
      </c>
      <c r="E27" s="168" t="s">
        <v>191</v>
      </c>
      <c r="F27" s="168" t="s">
        <v>172</v>
      </c>
      <c r="G27" s="168" t="s">
        <v>192</v>
      </c>
      <c r="H27" s="168">
        <v>203.28</v>
      </c>
      <c r="I27" s="171"/>
      <c r="J27" s="168">
        <v>12.0</v>
      </c>
      <c r="K27" s="168">
        <v>1.0</v>
      </c>
    </row>
    <row r="28">
      <c r="A28" s="169" t="s">
        <v>193</v>
      </c>
      <c r="B28" s="167">
        <v>45937.0</v>
      </c>
      <c r="C28" s="168">
        <v>4.300990007E9</v>
      </c>
      <c r="D28" s="169" t="s">
        <v>184</v>
      </c>
      <c r="E28" s="168" t="s">
        <v>194</v>
      </c>
      <c r="F28" s="168" t="s">
        <v>172</v>
      </c>
      <c r="G28" s="168" t="s">
        <v>195</v>
      </c>
      <c r="H28" s="168">
        <v>101.64</v>
      </c>
      <c r="I28" s="171"/>
      <c r="J28" s="168">
        <v>6.0</v>
      </c>
      <c r="K28" s="168">
        <v>1.0</v>
      </c>
    </row>
    <row r="29">
      <c r="A29" s="169" t="s">
        <v>196</v>
      </c>
      <c r="B29" s="167">
        <v>45937.0</v>
      </c>
      <c r="C29" s="168">
        <v>4.300990003E9</v>
      </c>
      <c r="D29" s="169" t="s">
        <v>197</v>
      </c>
      <c r="E29" s="168" t="s">
        <v>177</v>
      </c>
      <c r="F29" s="168" t="s">
        <v>172</v>
      </c>
      <c r="G29" s="168" t="s">
        <v>178</v>
      </c>
      <c r="H29" s="168">
        <v>304.92</v>
      </c>
      <c r="I29" s="169" t="s">
        <v>198</v>
      </c>
      <c r="J29" s="168">
        <v>18.0</v>
      </c>
      <c r="K29" s="168">
        <v>1.0</v>
      </c>
    </row>
    <row r="30">
      <c r="A30" s="169" t="s">
        <v>199</v>
      </c>
      <c r="B30" s="167">
        <v>45937.0</v>
      </c>
      <c r="C30" s="168">
        <v>4.300990004E9</v>
      </c>
      <c r="D30" s="169" t="s">
        <v>200</v>
      </c>
      <c r="E30" s="168" t="s">
        <v>181</v>
      </c>
      <c r="F30" s="168" t="s">
        <v>172</v>
      </c>
      <c r="G30" s="168" t="s">
        <v>182</v>
      </c>
      <c r="H30" s="168">
        <v>406.56</v>
      </c>
      <c r="I30" s="169" t="s">
        <v>198</v>
      </c>
      <c r="J30" s="168">
        <v>24.0</v>
      </c>
      <c r="K30" s="168">
        <v>1.0</v>
      </c>
    </row>
    <row r="31">
      <c r="A31" s="169" t="s">
        <v>201</v>
      </c>
      <c r="B31" s="167">
        <v>45968.0</v>
      </c>
      <c r="C31" s="168">
        <v>4.300990007E9</v>
      </c>
      <c r="D31" s="169" t="s">
        <v>184</v>
      </c>
      <c r="E31" s="168" t="s">
        <v>177</v>
      </c>
      <c r="F31" s="168" t="s">
        <v>172</v>
      </c>
      <c r="G31" s="168" t="s">
        <v>178</v>
      </c>
      <c r="H31" s="168">
        <v>304.92</v>
      </c>
      <c r="I31" s="171"/>
      <c r="J31" s="168">
        <v>18.0</v>
      </c>
      <c r="K31" s="168">
        <v>1.0</v>
      </c>
    </row>
    <row r="32">
      <c r="A32" s="169" t="s">
        <v>202</v>
      </c>
      <c r="B32" s="167">
        <v>45968.0</v>
      </c>
      <c r="C32" s="168">
        <v>4.300990008E9</v>
      </c>
      <c r="D32" s="169" t="s">
        <v>186</v>
      </c>
      <c r="E32" s="168" t="s">
        <v>203</v>
      </c>
      <c r="F32" s="168" t="s">
        <v>172</v>
      </c>
      <c r="G32" s="168" t="s">
        <v>204</v>
      </c>
      <c r="H32" s="168">
        <v>60.5</v>
      </c>
      <c r="I32" s="171"/>
      <c r="J32" s="168">
        <v>5.0</v>
      </c>
      <c r="K32" s="168">
        <v>1.0</v>
      </c>
    </row>
    <row r="33">
      <c r="A33" s="169" t="s">
        <v>205</v>
      </c>
      <c r="B33" s="167">
        <v>45968.0</v>
      </c>
      <c r="C33" s="168">
        <v>4.300990012E9</v>
      </c>
      <c r="D33" s="169" t="s">
        <v>206</v>
      </c>
      <c r="E33" s="168" t="s">
        <v>194</v>
      </c>
      <c r="F33" s="168" t="s">
        <v>172</v>
      </c>
      <c r="G33" s="168" t="s">
        <v>195</v>
      </c>
      <c r="H33" s="168">
        <v>101.64</v>
      </c>
      <c r="I33" s="171"/>
      <c r="J33" s="168">
        <v>6.0</v>
      </c>
      <c r="K33" s="168">
        <v>1.0</v>
      </c>
    </row>
    <row r="34">
      <c r="A34" s="169" t="s">
        <v>207</v>
      </c>
      <c r="B34" s="167">
        <v>45666.0</v>
      </c>
      <c r="C34" s="168">
        <v>4.300990013E9</v>
      </c>
      <c r="D34" s="169" t="s">
        <v>208</v>
      </c>
      <c r="E34" s="168" t="s">
        <v>194</v>
      </c>
      <c r="F34" s="168" t="s">
        <v>172</v>
      </c>
      <c r="G34" s="168" t="s">
        <v>195</v>
      </c>
      <c r="H34" s="168">
        <v>101.64</v>
      </c>
      <c r="I34" s="171"/>
      <c r="J34" s="168">
        <v>6.0</v>
      </c>
      <c r="K34" s="171"/>
    </row>
    <row r="35">
      <c r="A35" s="8" t="s">
        <v>209</v>
      </c>
      <c r="H35" s="39">
        <f>SUM(H22:H34)</f>
        <v>4474.58</v>
      </c>
    </row>
    <row r="36">
      <c r="A36" s="8" t="s">
        <v>210</v>
      </c>
      <c r="H36" s="172">
        <v>862.5</v>
      </c>
    </row>
    <row r="37">
      <c r="H37" s="8">
        <v>232.32</v>
      </c>
    </row>
    <row r="38">
      <c r="H38" s="173">
        <v>1043.62</v>
      </c>
    </row>
    <row r="40">
      <c r="H40" s="173">
        <v>1219.68</v>
      </c>
    </row>
    <row r="41">
      <c r="H41" s="8">
        <v>508.2</v>
      </c>
    </row>
    <row r="42">
      <c r="H42" s="39">
        <f>SUM(H35:H41)</f>
        <v>8340.9</v>
      </c>
    </row>
    <row r="43">
      <c r="H43" s="39">
        <f>SUM(H35:H42)</f>
        <v>16681.8</v>
      </c>
    </row>
  </sheetData>
  <autoFilter ref="$A$1:$R$16">
    <sortState ref="A1:R16">
      <sortCondition descending="1" ref="B1:B16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0.0"/>
    <col customWidth="1" min="2" max="2" width="21.0"/>
    <col customWidth="1" min="3" max="3" width="13.0"/>
    <col customWidth="1" min="4" max="9" width="9.0"/>
    <col customWidth="1" min="11" max="20" width="9.0"/>
  </cols>
  <sheetData>
    <row r="1">
      <c r="A1" s="6"/>
      <c r="B1" s="6"/>
      <c r="C1" s="6"/>
      <c r="D1" s="62"/>
      <c r="E1" s="62">
        <v>2025.0</v>
      </c>
      <c r="F1" s="62"/>
      <c r="G1" s="62"/>
      <c r="H1" s="63"/>
      <c r="I1" s="63"/>
      <c r="J1" s="65"/>
      <c r="K1" s="63"/>
      <c r="L1" s="63"/>
      <c r="M1" s="63"/>
      <c r="N1" s="63"/>
      <c r="O1" s="63"/>
      <c r="P1" s="63"/>
      <c r="Q1" s="63"/>
      <c r="R1" s="64" t="s">
        <v>25</v>
      </c>
      <c r="S1" s="63"/>
      <c r="T1" s="63"/>
      <c r="U1" s="6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67"/>
      <c r="B2" s="67"/>
      <c r="C2" s="68"/>
      <c r="D2" s="69" t="s">
        <v>116</v>
      </c>
      <c r="E2" s="69"/>
      <c r="F2" s="69" t="s">
        <v>117</v>
      </c>
      <c r="G2" s="69"/>
      <c r="H2" s="69" t="s">
        <v>118</v>
      </c>
      <c r="I2" s="69"/>
      <c r="J2" s="70" t="s">
        <v>124</v>
      </c>
      <c r="K2" s="69" t="s">
        <v>119</v>
      </c>
      <c r="L2" s="69"/>
      <c r="M2" s="69" t="s">
        <v>120</v>
      </c>
      <c r="N2" s="69"/>
      <c r="O2" s="69" t="s">
        <v>121</v>
      </c>
      <c r="P2" s="69"/>
      <c r="Q2" s="69" t="s">
        <v>122</v>
      </c>
      <c r="R2" s="69"/>
      <c r="S2" s="69" t="s">
        <v>123</v>
      </c>
      <c r="T2" s="63"/>
      <c r="U2" s="71" t="s">
        <v>125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6"/>
      <c r="B3" s="6"/>
      <c r="C3" s="68" t="s">
        <v>126</v>
      </c>
      <c r="D3" s="72" t="s">
        <v>127</v>
      </c>
      <c r="E3" s="73" t="s">
        <v>128</v>
      </c>
      <c r="F3" s="72" t="s">
        <v>127</v>
      </c>
      <c r="G3" s="73" t="s">
        <v>128</v>
      </c>
      <c r="H3" s="72" t="s">
        <v>127</v>
      </c>
      <c r="I3" s="73" t="s">
        <v>128</v>
      </c>
      <c r="J3" s="74"/>
      <c r="K3" s="72" t="s">
        <v>127</v>
      </c>
      <c r="L3" s="73" t="s">
        <v>128</v>
      </c>
      <c r="M3" s="72" t="s">
        <v>127</v>
      </c>
      <c r="N3" s="73" t="s">
        <v>128</v>
      </c>
      <c r="O3" s="72" t="s">
        <v>127</v>
      </c>
      <c r="P3" s="73" t="s">
        <v>128</v>
      </c>
      <c r="Q3" s="72" t="s">
        <v>127</v>
      </c>
      <c r="R3" s="73" t="s">
        <v>128</v>
      </c>
      <c r="S3" s="72" t="s">
        <v>127</v>
      </c>
      <c r="T3" s="73" t="s">
        <v>128</v>
      </c>
      <c r="U3" s="75" t="s">
        <v>129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76" t="s">
        <v>130</v>
      </c>
      <c r="B4" s="9" t="s">
        <v>131</v>
      </c>
      <c r="C4" s="77" t="s">
        <v>132</v>
      </c>
      <c r="D4" s="78"/>
      <c r="E4" s="79">
        <v>0.0</v>
      </c>
      <c r="F4" s="78"/>
      <c r="G4" s="79">
        <v>0.0</v>
      </c>
      <c r="H4" s="78"/>
      <c r="I4" s="79">
        <v>13760.0</v>
      </c>
      <c r="J4" s="80">
        <f t="shared" ref="J4:J7" si="1">S4+Q4+O4+M4+K4+H4+F4+D4</f>
        <v>0</v>
      </c>
      <c r="K4" s="78"/>
      <c r="L4" s="79">
        <v>13760.0</v>
      </c>
      <c r="M4" s="78"/>
      <c r="N4" s="79">
        <v>22000.0</v>
      </c>
      <c r="O4" s="78"/>
      <c r="P4" s="79">
        <v>26400.0</v>
      </c>
      <c r="Q4" s="78"/>
      <c r="R4" s="79">
        <v>31680.0</v>
      </c>
      <c r="S4" s="78"/>
      <c r="T4" s="79">
        <v>38016.0</v>
      </c>
      <c r="U4" s="81">
        <f t="shared" ref="U4:U7" si="2">T4+R4+P4+N4+L4+I4+G4+E4</f>
        <v>145616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>
      <c r="A5" s="82"/>
      <c r="B5" s="9" t="s">
        <v>113</v>
      </c>
      <c r="C5" s="77" t="s">
        <v>132</v>
      </c>
      <c r="D5" s="83"/>
      <c r="E5" s="79">
        <v>0.0</v>
      </c>
      <c r="F5" s="83"/>
      <c r="G5" s="79">
        <v>0.0</v>
      </c>
      <c r="H5" s="83"/>
      <c r="I5" s="79">
        <v>0.0</v>
      </c>
      <c r="J5" s="80">
        <f t="shared" si="1"/>
        <v>0</v>
      </c>
      <c r="K5" s="83"/>
      <c r="L5" s="79">
        <v>0.0</v>
      </c>
      <c r="M5" s="83"/>
      <c r="N5" s="79">
        <v>0.0</v>
      </c>
      <c r="O5" s="83"/>
      <c r="P5" s="79">
        <v>0.0</v>
      </c>
      <c r="Q5" s="83"/>
      <c r="R5" s="79">
        <v>0.0</v>
      </c>
      <c r="S5" s="83"/>
      <c r="T5" s="79">
        <v>0.0</v>
      </c>
      <c r="U5" s="81">
        <f t="shared" si="2"/>
        <v>0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>
      <c r="A6" s="84"/>
      <c r="B6" s="85" t="s">
        <v>133</v>
      </c>
      <c r="C6" s="86" t="s">
        <v>132</v>
      </c>
      <c r="D6" s="87"/>
      <c r="E6" s="88">
        <v>0.0</v>
      </c>
      <c r="F6" s="87"/>
      <c r="G6" s="88">
        <v>0.0</v>
      </c>
      <c r="H6" s="87"/>
      <c r="I6" s="88">
        <v>0.0</v>
      </c>
      <c r="J6" s="80">
        <f t="shared" si="1"/>
        <v>0</v>
      </c>
      <c r="K6" s="87"/>
      <c r="L6" s="88">
        <v>0.0</v>
      </c>
      <c r="M6" s="87"/>
      <c r="N6" s="88">
        <v>0.0</v>
      </c>
      <c r="O6" s="87"/>
      <c r="P6" s="88">
        <v>0.0</v>
      </c>
      <c r="Q6" s="87"/>
      <c r="R6" s="88">
        <v>0.0</v>
      </c>
      <c r="S6" s="87"/>
      <c r="T6" s="88">
        <v>0.0</v>
      </c>
      <c r="U6" s="81">
        <f t="shared" si="2"/>
        <v>0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>
      <c r="A7" s="89"/>
      <c r="B7" s="90" t="s">
        <v>125</v>
      </c>
      <c r="C7" s="91" t="s">
        <v>132</v>
      </c>
      <c r="D7" s="92">
        <v>1775.87</v>
      </c>
      <c r="E7" s="93">
        <f>sum(E4:E6)</f>
        <v>0</v>
      </c>
      <c r="F7" s="92">
        <v>1825.25</v>
      </c>
      <c r="G7" s="93">
        <f>sum(G4:G6)</f>
        <v>0</v>
      </c>
      <c r="H7" s="92">
        <v>5715.67</v>
      </c>
      <c r="I7" s="93">
        <f>sum(I4:I6)</f>
        <v>13760</v>
      </c>
      <c r="J7" s="95">
        <f t="shared" si="1"/>
        <v>32676.89</v>
      </c>
      <c r="K7" s="92">
        <v>2735.1</v>
      </c>
      <c r="L7" s="93">
        <f>sum(L4:L6)</f>
        <v>13760</v>
      </c>
      <c r="M7" s="92">
        <v>20625.0</v>
      </c>
      <c r="N7" s="93">
        <f>sum(N4:N6)</f>
        <v>22000</v>
      </c>
      <c r="O7" s="94"/>
      <c r="P7" s="93">
        <f>sum(P4:P6)</f>
        <v>26400</v>
      </c>
      <c r="Q7" s="94"/>
      <c r="R7" s="93">
        <f>sum(R4:R6)</f>
        <v>31680</v>
      </c>
      <c r="S7" s="94"/>
      <c r="T7" s="93">
        <f>sum(T4:T6)</f>
        <v>38016</v>
      </c>
      <c r="U7" s="96">
        <f t="shared" si="2"/>
        <v>145616</v>
      </c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>
      <c r="A8" s="82"/>
      <c r="B8" s="6"/>
      <c r="C8" s="6"/>
      <c r="D8" s="83"/>
      <c r="E8" s="98"/>
      <c r="F8" s="83"/>
      <c r="G8" s="98"/>
      <c r="H8" s="83"/>
      <c r="I8" s="98"/>
      <c r="J8" s="80"/>
      <c r="K8" s="83"/>
      <c r="L8" s="98"/>
      <c r="M8" s="83"/>
      <c r="N8" s="98"/>
      <c r="O8" s="83"/>
      <c r="P8" s="98"/>
      <c r="Q8" s="83"/>
      <c r="R8" s="98"/>
      <c r="S8" s="83"/>
      <c r="T8" s="98"/>
      <c r="U8" s="81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>
      <c r="A9" s="76" t="s">
        <v>134</v>
      </c>
      <c r="B9" s="6"/>
      <c r="C9" s="77" t="s">
        <v>211</v>
      </c>
      <c r="D9" s="83"/>
      <c r="E9" s="98"/>
      <c r="F9" s="83"/>
      <c r="G9" s="98"/>
      <c r="H9" s="83"/>
      <c r="I9" s="98"/>
      <c r="J9" s="80"/>
      <c r="K9" s="83"/>
      <c r="L9" s="98"/>
      <c r="M9" s="83"/>
      <c r="N9" s="98"/>
      <c r="O9" s="83"/>
      <c r="P9" s="98"/>
      <c r="Q9" s="83"/>
      <c r="R9" s="98"/>
      <c r="S9" s="83"/>
      <c r="T9" s="98"/>
      <c r="U9" s="81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>
      <c r="A10" s="82"/>
      <c r="B10" s="9" t="s">
        <v>131</v>
      </c>
      <c r="C10" s="174" t="s">
        <v>212</v>
      </c>
      <c r="D10" s="113"/>
      <c r="E10" s="104">
        <v>0.0</v>
      </c>
      <c r="F10" s="113"/>
      <c r="G10" s="104">
        <v>0.0</v>
      </c>
      <c r="H10" s="113"/>
      <c r="I10" s="104">
        <v>0.0</v>
      </c>
      <c r="J10" s="105">
        <f>S10+Q10+O10+M10+K10+H10+F10+D10</f>
        <v>0</v>
      </c>
      <c r="K10" s="113"/>
      <c r="L10" s="104">
        <v>0.0</v>
      </c>
      <c r="M10" s="113"/>
      <c r="N10" s="104">
        <v>0.0</v>
      </c>
      <c r="O10" s="113"/>
      <c r="P10" s="104">
        <v>0.0</v>
      </c>
      <c r="Q10" s="113"/>
      <c r="R10" s="104">
        <v>0.0</v>
      </c>
      <c r="S10" s="113"/>
      <c r="T10" s="104">
        <v>0.0</v>
      </c>
      <c r="U10" s="106">
        <f>T10+R10+P10+N10+L10+I10+G10+E10</f>
        <v>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>
      <c r="A11" s="82"/>
      <c r="B11" s="9"/>
      <c r="C11" s="77" t="s">
        <v>213</v>
      </c>
      <c r="D11" s="113"/>
      <c r="E11" s="104"/>
      <c r="F11" s="113"/>
      <c r="G11" s="104"/>
      <c r="H11" s="113"/>
      <c r="I11" s="104"/>
      <c r="J11" s="105"/>
      <c r="K11" s="113"/>
      <c r="L11" s="104"/>
      <c r="M11" s="113"/>
      <c r="N11" s="104"/>
      <c r="O11" s="113"/>
      <c r="P11" s="104"/>
      <c r="Q11" s="113"/>
      <c r="R11" s="104"/>
      <c r="S11" s="113"/>
      <c r="T11" s="104"/>
      <c r="U11" s="10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82"/>
      <c r="B12" s="9" t="s">
        <v>113</v>
      </c>
      <c r="C12" s="174" t="s">
        <v>212</v>
      </c>
      <c r="D12" s="113"/>
      <c r="E12" s="104">
        <v>0.0</v>
      </c>
      <c r="F12" s="113"/>
      <c r="G12" s="104">
        <v>0.0</v>
      </c>
      <c r="H12" s="113"/>
      <c r="I12" s="104">
        <v>0.0</v>
      </c>
      <c r="J12" s="105">
        <f>S12+Q12+O12+M12+K12+H12+F12+D12</f>
        <v>0</v>
      </c>
      <c r="K12" s="113"/>
      <c r="L12" s="104">
        <v>0.0</v>
      </c>
      <c r="M12" s="113"/>
      <c r="N12" s="104">
        <v>0.0</v>
      </c>
      <c r="O12" s="113"/>
      <c r="P12" s="104">
        <v>0.0</v>
      </c>
      <c r="Q12" s="113"/>
      <c r="R12" s="104">
        <v>0.0</v>
      </c>
      <c r="S12" s="113"/>
      <c r="T12" s="104">
        <v>0.0</v>
      </c>
      <c r="U12" s="106">
        <f>T12+R12+P12+N12+L12+I12+G12+E12</f>
        <v>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82"/>
      <c r="B13" s="9"/>
      <c r="C13" s="77" t="s">
        <v>213</v>
      </c>
      <c r="D13" s="113"/>
      <c r="E13" s="104"/>
      <c r="F13" s="113"/>
      <c r="G13" s="104"/>
      <c r="H13" s="113"/>
      <c r="I13" s="104"/>
      <c r="J13" s="105"/>
      <c r="K13" s="113"/>
      <c r="L13" s="104"/>
      <c r="M13" s="113"/>
      <c r="N13" s="104"/>
      <c r="O13" s="113"/>
      <c r="P13" s="104"/>
      <c r="Q13" s="113"/>
      <c r="R13" s="104"/>
      <c r="S13" s="113"/>
      <c r="T13" s="104"/>
      <c r="U13" s="10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>
      <c r="A14" s="82"/>
      <c r="B14" s="85" t="s">
        <v>133</v>
      </c>
      <c r="C14" s="175" t="s">
        <v>212</v>
      </c>
      <c r="D14" s="99"/>
      <c r="E14" s="100">
        <v>0.0</v>
      </c>
      <c r="F14" s="99"/>
      <c r="G14" s="100">
        <v>0.0</v>
      </c>
      <c r="H14" s="99"/>
      <c r="I14" s="100">
        <v>287.0</v>
      </c>
      <c r="J14" s="101">
        <f>S14+Q14+O14+M14+K14+H14+F14+D14</f>
        <v>0</v>
      </c>
      <c r="K14" s="99"/>
      <c r="L14" s="100">
        <v>287.0</v>
      </c>
      <c r="M14" s="99"/>
      <c r="N14" s="100">
        <v>458.0</v>
      </c>
      <c r="O14" s="99"/>
      <c r="P14" s="100">
        <v>504.0</v>
      </c>
      <c r="Q14" s="99"/>
      <c r="R14" s="100">
        <v>555.0</v>
      </c>
      <c r="S14" s="99"/>
      <c r="T14" s="100">
        <v>610.0</v>
      </c>
      <c r="U14" s="102">
        <f>T14+R14+P14+N14+L14+I14+G14+E14</f>
        <v>2701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>
      <c r="A15" s="82"/>
      <c r="B15" s="9"/>
      <c r="C15" s="77" t="s">
        <v>213</v>
      </c>
      <c r="D15" s="103"/>
      <c r="E15" s="104"/>
      <c r="F15" s="103"/>
      <c r="G15" s="104"/>
      <c r="H15" s="103"/>
      <c r="I15" s="104"/>
      <c r="J15" s="105"/>
      <c r="K15" s="103"/>
      <c r="L15" s="104"/>
      <c r="M15" s="103"/>
      <c r="N15" s="104"/>
      <c r="O15" s="103"/>
      <c r="P15" s="104"/>
      <c r="Q15" s="103"/>
      <c r="R15" s="104"/>
      <c r="S15" s="103"/>
      <c r="T15" s="104"/>
      <c r="U15" s="10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114"/>
      <c r="B16" s="115" t="s">
        <v>125</v>
      </c>
      <c r="C16" s="176" t="s">
        <v>214</v>
      </c>
      <c r="D16" s="177">
        <v>20.17</v>
      </c>
      <c r="E16" s="177"/>
      <c r="F16" s="177">
        <v>42.67</v>
      </c>
      <c r="G16" s="177"/>
      <c r="H16" s="177">
        <v>78.0</v>
      </c>
      <c r="I16" s="117">
        <f t="shared" ref="I16:J16" si="3">sum(I10:I14)</f>
        <v>287</v>
      </c>
      <c r="J16" s="118">
        <f t="shared" si="3"/>
        <v>0</v>
      </c>
      <c r="K16" s="177">
        <v>24.0</v>
      </c>
      <c r="L16" s="117">
        <f>sum(L10:L14)</f>
        <v>287</v>
      </c>
      <c r="M16" s="177">
        <v>313.33</v>
      </c>
      <c r="N16" s="117">
        <f t="shared" ref="N16:T16" si="4">sum(N10:N14)</f>
        <v>458</v>
      </c>
      <c r="O16" s="117">
        <f t="shared" si="4"/>
        <v>0</v>
      </c>
      <c r="P16" s="117">
        <f t="shared" si="4"/>
        <v>504</v>
      </c>
      <c r="Q16" s="117">
        <f t="shared" si="4"/>
        <v>0</v>
      </c>
      <c r="R16" s="117">
        <f t="shared" si="4"/>
        <v>555</v>
      </c>
      <c r="S16" s="117">
        <f t="shared" si="4"/>
        <v>0</v>
      </c>
      <c r="T16" s="117">
        <f t="shared" si="4"/>
        <v>610</v>
      </c>
      <c r="U16" s="119">
        <f>T16+R16+P16+N16+L16+I16+G16+E16</f>
        <v>2701</v>
      </c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</row>
    <row r="17">
      <c r="A17" s="6"/>
      <c r="B17" s="6"/>
      <c r="C17" s="9"/>
      <c r="D17" s="6"/>
      <c r="E17" s="120"/>
      <c r="F17" s="6"/>
      <c r="G17" s="120"/>
      <c r="H17" s="6"/>
      <c r="I17" s="120"/>
      <c r="J17" s="97"/>
      <c r="K17" s="6"/>
      <c r="L17" s="120"/>
      <c r="M17" s="6"/>
      <c r="N17" s="120"/>
      <c r="O17" s="6"/>
      <c r="P17" s="120"/>
      <c r="Q17" s="6"/>
      <c r="R17" s="120"/>
      <c r="S17" s="6"/>
      <c r="T17" s="120"/>
      <c r="U17" s="9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6"/>
      <c r="B18" s="9"/>
      <c r="C18" s="9"/>
      <c r="D18" s="120"/>
      <c r="E18" s="120"/>
      <c r="F18" s="121"/>
      <c r="G18" s="120"/>
      <c r="H18" s="121"/>
      <c r="I18" s="120"/>
      <c r="J18" s="121"/>
      <c r="K18" s="121"/>
      <c r="L18" s="120"/>
      <c r="M18" s="121"/>
      <c r="N18" s="120"/>
      <c r="O18" s="121"/>
      <c r="P18" s="120"/>
      <c r="Q18" s="121"/>
      <c r="R18" s="120"/>
      <c r="S18" s="121"/>
      <c r="T18" s="120"/>
      <c r="U18" s="121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6"/>
      <c r="B19" s="9"/>
      <c r="C19" s="9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6"/>
      <c r="B20" s="9"/>
      <c r="C20" s="9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>
      <c r="A21" s="6"/>
      <c r="B21" s="9"/>
      <c r="C21" s="9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>
      <c r="A22" s="6"/>
      <c r="B22" s="9"/>
      <c r="C22" s="9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>
      <c r="A23" s="6"/>
      <c r="B23" s="9"/>
      <c r="C23" s="9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>
      <c r="A24" s="6"/>
      <c r="B24" s="9"/>
      <c r="C24" s="9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>
      <c r="A25" s="6"/>
      <c r="B25" s="9"/>
      <c r="C25" s="9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>
      <c r="A26" s="6"/>
      <c r="B26" s="9"/>
      <c r="C26" s="9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>
      <c r="A27" s="6"/>
      <c r="B27" s="9"/>
      <c r="C27" s="9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>
      <c r="A28" s="6"/>
      <c r="B28" s="9"/>
      <c r="C28" s="9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>
      <c r="A29" s="6"/>
      <c r="B29" s="9"/>
      <c r="C29" s="9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>
      <c r="A30" s="6"/>
      <c r="B30" s="9"/>
      <c r="C30" s="9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>
      <c r="A31" s="6"/>
      <c r="B31" s="9"/>
      <c r="C31" s="9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>
      <c r="A32" s="6"/>
      <c r="B32" s="9"/>
      <c r="C32" s="9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>
      <c r="A33" s="6"/>
      <c r="B33" s="9"/>
      <c r="C33" s="9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>
      <c r="A34" s="6"/>
      <c r="B34" s="9"/>
      <c r="C34" s="9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97"/>
      <c r="K35" s="6"/>
      <c r="L35" s="6"/>
      <c r="M35" s="6"/>
      <c r="N35" s="6"/>
      <c r="O35" s="6"/>
      <c r="P35" s="6"/>
      <c r="Q35" s="6"/>
      <c r="R35" s="6"/>
      <c r="S35" s="6"/>
      <c r="T35" s="6"/>
      <c r="U35" s="9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97"/>
      <c r="K36" s="6"/>
      <c r="L36" s="6"/>
      <c r="M36" s="6"/>
      <c r="N36" s="6"/>
      <c r="O36" s="6"/>
      <c r="P36" s="6"/>
      <c r="Q36" s="6"/>
      <c r="R36" s="6"/>
      <c r="S36" s="6"/>
      <c r="T36" s="6"/>
      <c r="U36" s="9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97"/>
      <c r="K37" s="6"/>
      <c r="L37" s="6"/>
      <c r="M37" s="6"/>
      <c r="N37" s="6"/>
      <c r="O37" s="6"/>
      <c r="P37" s="6"/>
      <c r="Q37" s="6"/>
      <c r="R37" s="6"/>
      <c r="S37" s="6"/>
      <c r="T37" s="6"/>
      <c r="U37" s="9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97"/>
      <c r="K38" s="6"/>
      <c r="L38" s="6"/>
      <c r="M38" s="6"/>
      <c r="N38" s="6"/>
      <c r="O38" s="6"/>
      <c r="P38" s="6"/>
      <c r="Q38" s="6"/>
      <c r="R38" s="6"/>
      <c r="S38" s="6"/>
      <c r="T38" s="6"/>
      <c r="U38" s="9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97"/>
      <c r="K39" s="6"/>
      <c r="L39" s="6"/>
      <c r="M39" s="6"/>
      <c r="N39" s="6"/>
      <c r="O39" s="6"/>
      <c r="P39" s="6"/>
      <c r="Q39" s="6"/>
      <c r="R39" s="6"/>
      <c r="S39" s="6"/>
      <c r="T39" s="6"/>
      <c r="U39" s="9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97"/>
      <c r="K40" s="6"/>
      <c r="L40" s="6"/>
      <c r="M40" s="6"/>
      <c r="N40" s="6"/>
      <c r="O40" s="6"/>
      <c r="P40" s="6"/>
      <c r="Q40" s="6"/>
      <c r="R40" s="6"/>
      <c r="S40" s="6"/>
      <c r="T40" s="6"/>
      <c r="U40" s="9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97"/>
      <c r="K41" s="6"/>
      <c r="L41" s="6"/>
      <c r="M41" s="6"/>
      <c r="N41" s="6"/>
      <c r="O41" s="6"/>
      <c r="P41" s="6"/>
      <c r="Q41" s="6"/>
      <c r="R41" s="6"/>
      <c r="S41" s="6"/>
      <c r="T41" s="6"/>
      <c r="U41" s="9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97"/>
      <c r="K42" s="6"/>
      <c r="L42" s="6"/>
      <c r="M42" s="6"/>
      <c r="N42" s="6"/>
      <c r="O42" s="6"/>
      <c r="P42" s="6"/>
      <c r="Q42" s="6"/>
      <c r="R42" s="6"/>
      <c r="S42" s="6"/>
      <c r="T42" s="6"/>
      <c r="U42" s="9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97"/>
      <c r="K43" s="6"/>
      <c r="L43" s="6"/>
      <c r="M43" s="6"/>
      <c r="N43" s="6"/>
      <c r="O43" s="6"/>
      <c r="P43" s="6"/>
      <c r="Q43" s="6"/>
      <c r="R43" s="6"/>
      <c r="S43" s="6"/>
      <c r="T43" s="6"/>
      <c r="U43" s="9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97"/>
      <c r="K44" s="6"/>
      <c r="L44" s="6"/>
      <c r="M44" s="6"/>
      <c r="N44" s="6"/>
      <c r="O44" s="6"/>
      <c r="P44" s="6"/>
      <c r="Q44" s="6"/>
      <c r="R44" s="6"/>
      <c r="S44" s="6"/>
      <c r="T44" s="6"/>
      <c r="U44" s="9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97"/>
      <c r="K45" s="6"/>
      <c r="L45" s="6"/>
      <c r="M45" s="6"/>
      <c r="N45" s="6"/>
      <c r="O45" s="6"/>
      <c r="P45" s="6"/>
      <c r="Q45" s="6"/>
      <c r="R45" s="6"/>
      <c r="S45" s="6"/>
      <c r="T45" s="6"/>
      <c r="U45" s="9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97"/>
      <c r="K46" s="6"/>
      <c r="L46" s="6"/>
      <c r="M46" s="6"/>
      <c r="N46" s="6"/>
      <c r="O46" s="6"/>
      <c r="P46" s="6"/>
      <c r="Q46" s="6"/>
      <c r="R46" s="6"/>
      <c r="S46" s="6"/>
      <c r="T46" s="6"/>
      <c r="U46" s="9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97"/>
      <c r="K47" s="6"/>
      <c r="L47" s="6"/>
      <c r="M47" s="6"/>
      <c r="N47" s="6"/>
      <c r="O47" s="6"/>
      <c r="P47" s="6"/>
      <c r="Q47" s="6"/>
      <c r="R47" s="6"/>
      <c r="S47" s="6"/>
      <c r="T47" s="6"/>
      <c r="U47" s="9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97"/>
      <c r="K48" s="6"/>
      <c r="L48" s="6"/>
      <c r="M48" s="6"/>
      <c r="N48" s="6"/>
      <c r="O48" s="6"/>
      <c r="P48" s="6"/>
      <c r="Q48" s="6"/>
      <c r="R48" s="6"/>
      <c r="S48" s="6"/>
      <c r="T48" s="6"/>
      <c r="U48" s="9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97"/>
      <c r="K49" s="6"/>
      <c r="L49" s="6"/>
      <c r="M49" s="6"/>
      <c r="N49" s="6"/>
      <c r="O49" s="6"/>
      <c r="P49" s="6"/>
      <c r="Q49" s="6"/>
      <c r="R49" s="6"/>
      <c r="S49" s="6"/>
      <c r="T49" s="6"/>
      <c r="U49" s="9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97"/>
      <c r="K50" s="6"/>
      <c r="L50" s="6"/>
      <c r="M50" s="6"/>
      <c r="N50" s="6"/>
      <c r="O50" s="6"/>
      <c r="P50" s="6"/>
      <c r="Q50" s="6"/>
      <c r="R50" s="6"/>
      <c r="S50" s="6"/>
      <c r="T50" s="6"/>
      <c r="U50" s="9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97"/>
      <c r="K51" s="6"/>
      <c r="L51" s="6"/>
      <c r="M51" s="6"/>
      <c r="N51" s="6"/>
      <c r="O51" s="6"/>
      <c r="P51" s="6"/>
      <c r="Q51" s="6"/>
      <c r="R51" s="6"/>
      <c r="S51" s="6"/>
      <c r="T51" s="6"/>
      <c r="U51" s="9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97"/>
      <c r="K52" s="6"/>
      <c r="L52" s="6"/>
      <c r="M52" s="6"/>
      <c r="N52" s="6"/>
      <c r="O52" s="6"/>
      <c r="P52" s="6"/>
      <c r="Q52" s="6"/>
      <c r="R52" s="6"/>
      <c r="S52" s="6"/>
      <c r="T52" s="6"/>
      <c r="U52" s="9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97"/>
      <c r="K53" s="6"/>
      <c r="L53" s="6"/>
      <c r="M53" s="6"/>
      <c r="N53" s="6"/>
      <c r="O53" s="6"/>
      <c r="P53" s="6"/>
      <c r="Q53" s="6"/>
      <c r="R53" s="6"/>
      <c r="S53" s="6"/>
      <c r="T53" s="6"/>
      <c r="U53" s="9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97"/>
      <c r="K54" s="6"/>
      <c r="L54" s="6"/>
      <c r="M54" s="6"/>
      <c r="N54" s="6"/>
      <c r="O54" s="6"/>
      <c r="P54" s="6"/>
      <c r="Q54" s="6"/>
      <c r="R54" s="6"/>
      <c r="S54" s="6"/>
      <c r="T54" s="6"/>
      <c r="U54" s="97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97"/>
      <c r="K55" s="6"/>
      <c r="L55" s="6"/>
      <c r="M55" s="6"/>
      <c r="N55" s="6"/>
      <c r="O55" s="6"/>
      <c r="P55" s="6"/>
      <c r="Q55" s="6"/>
      <c r="R55" s="6"/>
      <c r="S55" s="6"/>
      <c r="T55" s="6"/>
      <c r="U55" s="97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97"/>
      <c r="K56" s="6"/>
      <c r="L56" s="6"/>
      <c r="M56" s="6"/>
      <c r="N56" s="6"/>
      <c r="O56" s="6"/>
      <c r="P56" s="6"/>
      <c r="Q56" s="6"/>
      <c r="R56" s="6"/>
      <c r="S56" s="6"/>
      <c r="T56" s="6"/>
      <c r="U56" s="97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97"/>
      <c r="K57" s="6"/>
      <c r="L57" s="6"/>
      <c r="M57" s="6"/>
      <c r="N57" s="6"/>
      <c r="O57" s="6"/>
      <c r="P57" s="6"/>
      <c r="Q57" s="6"/>
      <c r="R57" s="6"/>
      <c r="S57" s="6"/>
      <c r="T57" s="6"/>
      <c r="U57" s="97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97"/>
      <c r="K58" s="6"/>
      <c r="L58" s="6"/>
      <c r="M58" s="6"/>
      <c r="N58" s="6"/>
      <c r="O58" s="6"/>
      <c r="P58" s="6"/>
      <c r="Q58" s="6"/>
      <c r="R58" s="6"/>
      <c r="S58" s="6"/>
      <c r="T58" s="6"/>
      <c r="U58" s="97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97"/>
      <c r="K59" s="6"/>
      <c r="L59" s="6"/>
      <c r="M59" s="6"/>
      <c r="N59" s="6"/>
      <c r="O59" s="6"/>
      <c r="P59" s="6"/>
      <c r="Q59" s="6"/>
      <c r="R59" s="6"/>
      <c r="S59" s="6"/>
      <c r="T59" s="6"/>
      <c r="U59" s="97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97"/>
      <c r="K60" s="6"/>
      <c r="L60" s="6"/>
      <c r="M60" s="6"/>
      <c r="N60" s="6"/>
      <c r="O60" s="6"/>
      <c r="P60" s="6"/>
      <c r="Q60" s="6"/>
      <c r="R60" s="6"/>
      <c r="S60" s="6"/>
      <c r="T60" s="6"/>
      <c r="U60" s="97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97"/>
      <c r="K61" s="6"/>
      <c r="L61" s="6"/>
      <c r="M61" s="6"/>
      <c r="N61" s="6"/>
      <c r="O61" s="6"/>
      <c r="P61" s="6"/>
      <c r="Q61" s="6"/>
      <c r="R61" s="6"/>
      <c r="S61" s="6"/>
      <c r="T61" s="6"/>
      <c r="U61" s="97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97"/>
      <c r="K62" s="6"/>
      <c r="L62" s="6"/>
      <c r="M62" s="6"/>
      <c r="N62" s="6"/>
      <c r="O62" s="6"/>
      <c r="P62" s="6"/>
      <c r="Q62" s="6"/>
      <c r="R62" s="6"/>
      <c r="S62" s="6"/>
      <c r="T62" s="6"/>
      <c r="U62" s="97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97"/>
      <c r="K63" s="6"/>
      <c r="L63" s="6"/>
      <c r="M63" s="6"/>
      <c r="N63" s="6"/>
      <c r="O63" s="6"/>
      <c r="P63" s="6"/>
      <c r="Q63" s="6"/>
      <c r="R63" s="6"/>
      <c r="S63" s="6"/>
      <c r="T63" s="6"/>
      <c r="U63" s="97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97"/>
      <c r="K64" s="6"/>
      <c r="L64" s="6"/>
      <c r="M64" s="6"/>
      <c r="N64" s="6"/>
      <c r="O64" s="6"/>
      <c r="P64" s="6"/>
      <c r="Q64" s="6"/>
      <c r="R64" s="6"/>
      <c r="S64" s="6"/>
      <c r="T64" s="6"/>
      <c r="U64" s="97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97"/>
      <c r="K65" s="6"/>
      <c r="L65" s="6"/>
      <c r="M65" s="6"/>
      <c r="N65" s="6"/>
      <c r="O65" s="6"/>
      <c r="P65" s="6"/>
      <c r="Q65" s="6"/>
      <c r="R65" s="6"/>
      <c r="S65" s="6"/>
      <c r="T65" s="6"/>
      <c r="U65" s="97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97"/>
      <c r="K66" s="6"/>
      <c r="L66" s="6"/>
      <c r="M66" s="6"/>
      <c r="N66" s="6"/>
      <c r="O66" s="6"/>
      <c r="P66" s="6"/>
      <c r="Q66" s="6"/>
      <c r="R66" s="6"/>
      <c r="S66" s="6"/>
      <c r="T66" s="6"/>
      <c r="U66" s="97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97"/>
      <c r="K67" s="6"/>
      <c r="L67" s="6"/>
      <c r="M67" s="6"/>
      <c r="N67" s="6"/>
      <c r="O67" s="6"/>
      <c r="P67" s="6"/>
      <c r="Q67" s="6"/>
      <c r="R67" s="6"/>
      <c r="S67" s="6"/>
      <c r="T67" s="6"/>
      <c r="U67" s="97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97"/>
      <c r="K68" s="6"/>
      <c r="L68" s="6"/>
      <c r="M68" s="6"/>
      <c r="N68" s="6"/>
      <c r="O68" s="6"/>
      <c r="P68" s="6"/>
      <c r="Q68" s="6"/>
      <c r="R68" s="6"/>
      <c r="S68" s="6"/>
      <c r="T68" s="6"/>
      <c r="U68" s="97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97"/>
      <c r="K69" s="6"/>
      <c r="L69" s="6"/>
      <c r="M69" s="6"/>
      <c r="N69" s="6"/>
      <c r="O69" s="6"/>
      <c r="P69" s="6"/>
      <c r="Q69" s="6"/>
      <c r="R69" s="6"/>
      <c r="S69" s="6"/>
      <c r="T69" s="6"/>
      <c r="U69" s="97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97"/>
      <c r="K70" s="6"/>
      <c r="L70" s="6"/>
      <c r="M70" s="6"/>
      <c r="N70" s="6"/>
      <c r="O70" s="6"/>
      <c r="P70" s="6"/>
      <c r="Q70" s="6"/>
      <c r="R70" s="6"/>
      <c r="S70" s="6"/>
      <c r="T70" s="6"/>
      <c r="U70" s="97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97"/>
      <c r="K71" s="6"/>
      <c r="L71" s="6"/>
      <c r="M71" s="6"/>
      <c r="N71" s="6"/>
      <c r="O71" s="6"/>
      <c r="P71" s="6"/>
      <c r="Q71" s="6"/>
      <c r="R71" s="6"/>
      <c r="S71" s="6"/>
      <c r="T71" s="6"/>
      <c r="U71" s="97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97"/>
      <c r="K72" s="6"/>
      <c r="L72" s="6"/>
      <c r="M72" s="6"/>
      <c r="N72" s="6"/>
      <c r="O72" s="6"/>
      <c r="P72" s="6"/>
      <c r="Q72" s="6"/>
      <c r="R72" s="6"/>
      <c r="S72" s="6"/>
      <c r="T72" s="6"/>
      <c r="U72" s="97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97"/>
      <c r="K73" s="6"/>
      <c r="L73" s="6"/>
      <c r="M73" s="6"/>
      <c r="N73" s="6"/>
      <c r="O73" s="6"/>
      <c r="P73" s="6"/>
      <c r="Q73" s="6"/>
      <c r="R73" s="6"/>
      <c r="S73" s="6"/>
      <c r="T73" s="6"/>
      <c r="U73" s="97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97"/>
      <c r="K74" s="6"/>
      <c r="L74" s="6"/>
      <c r="M74" s="6"/>
      <c r="N74" s="6"/>
      <c r="O74" s="6"/>
      <c r="P74" s="6"/>
      <c r="Q74" s="6"/>
      <c r="R74" s="6"/>
      <c r="S74" s="6"/>
      <c r="T74" s="6"/>
      <c r="U74" s="97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97"/>
      <c r="K75" s="6"/>
      <c r="L75" s="6"/>
      <c r="M75" s="6"/>
      <c r="N75" s="6"/>
      <c r="O75" s="6"/>
      <c r="P75" s="6"/>
      <c r="Q75" s="6"/>
      <c r="R75" s="6"/>
      <c r="S75" s="6"/>
      <c r="T75" s="6"/>
      <c r="U75" s="97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97"/>
      <c r="K76" s="6"/>
      <c r="L76" s="6"/>
      <c r="M76" s="6"/>
      <c r="N76" s="6"/>
      <c r="O76" s="6"/>
      <c r="P76" s="6"/>
      <c r="Q76" s="6"/>
      <c r="R76" s="6"/>
      <c r="S76" s="6"/>
      <c r="T76" s="6"/>
      <c r="U76" s="97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97"/>
      <c r="K77" s="6"/>
      <c r="L77" s="6"/>
      <c r="M77" s="6"/>
      <c r="N77" s="6"/>
      <c r="O77" s="6"/>
      <c r="P77" s="6"/>
      <c r="Q77" s="6"/>
      <c r="R77" s="6"/>
      <c r="S77" s="6"/>
      <c r="T77" s="6"/>
      <c r="U77" s="97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97"/>
      <c r="K78" s="6"/>
      <c r="L78" s="6"/>
      <c r="M78" s="6"/>
      <c r="N78" s="6"/>
      <c r="O78" s="6"/>
      <c r="P78" s="6"/>
      <c r="Q78" s="6"/>
      <c r="R78" s="6"/>
      <c r="S78" s="6"/>
      <c r="T78" s="6"/>
      <c r="U78" s="97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97"/>
      <c r="K79" s="6"/>
      <c r="L79" s="6"/>
      <c r="M79" s="6"/>
      <c r="N79" s="6"/>
      <c r="O79" s="6"/>
      <c r="P79" s="6"/>
      <c r="Q79" s="6"/>
      <c r="R79" s="6"/>
      <c r="S79" s="6"/>
      <c r="T79" s="6"/>
      <c r="U79" s="97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97"/>
      <c r="K80" s="6"/>
      <c r="L80" s="6"/>
      <c r="M80" s="6"/>
      <c r="N80" s="6"/>
      <c r="O80" s="6"/>
      <c r="P80" s="6"/>
      <c r="Q80" s="6"/>
      <c r="R80" s="6"/>
      <c r="S80" s="6"/>
      <c r="T80" s="6"/>
      <c r="U80" s="97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97"/>
      <c r="K81" s="6"/>
      <c r="L81" s="6"/>
      <c r="M81" s="6"/>
      <c r="N81" s="6"/>
      <c r="O81" s="6"/>
      <c r="P81" s="6"/>
      <c r="Q81" s="6"/>
      <c r="R81" s="6"/>
      <c r="S81" s="6"/>
      <c r="T81" s="6"/>
      <c r="U81" s="97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97"/>
      <c r="K82" s="6"/>
      <c r="L82" s="6"/>
      <c r="M82" s="6"/>
      <c r="N82" s="6"/>
      <c r="O82" s="6"/>
      <c r="P82" s="6"/>
      <c r="Q82" s="6"/>
      <c r="R82" s="6"/>
      <c r="S82" s="6"/>
      <c r="T82" s="6"/>
      <c r="U82" s="97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97"/>
      <c r="K83" s="6"/>
      <c r="L83" s="6"/>
      <c r="M83" s="6"/>
      <c r="N83" s="6"/>
      <c r="O83" s="6"/>
      <c r="P83" s="6"/>
      <c r="Q83" s="6"/>
      <c r="R83" s="6"/>
      <c r="S83" s="6"/>
      <c r="T83" s="6"/>
      <c r="U83" s="97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97"/>
      <c r="K84" s="6"/>
      <c r="L84" s="6"/>
      <c r="M84" s="6"/>
      <c r="N84" s="6"/>
      <c r="O84" s="6"/>
      <c r="P84" s="6"/>
      <c r="Q84" s="6"/>
      <c r="R84" s="6"/>
      <c r="S84" s="6"/>
      <c r="T84" s="6"/>
      <c r="U84" s="97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97"/>
      <c r="K85" s="6"/>
      <c r="L85" s="6"/>
      <c r="M85" s="6"/>
      <c r="N85" s="6"/>
      <c r="O85" s="6"/>
      <c r="P85" s="6"/>
      <c r="Q85" s="6"/>
      <c r="R85" s="6"/>
      <c r="S85" s="6"/>
      <c r="T85" s="6"/>
      <c r="U85" s="97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97"/>
      <c r="K86" s="6"/>
      <c r="L86" s="6"/>
      <c r="M86" s="6"/>
      <c r="N86" s="6"/>
      <c r="O86" s="6"/>
      <c r="P86" s="6"/>
      <c r="Q86" s="6"/>
      <c r="R86" s="6"/>
      <c r="S86" s="6"/>
      <c r="T86" s="6"/>
      <c r="U86" s="97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97"/>
      <c r="K87" s="6"/>
      <c r="L87" s="6"/>
      <c r="M87" s="6"/>
      <c r="N87" s="6"/>
      <c r="O87" s="6"/>
      <c r="P87" s="6"/>
      <c r="Q87" s="6"/>
      <c r="R87" s="6"/>
      <c r="S87" s="6"/>
      <c r="T87" s="6"/>
      <c r="U87" s="97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97"/>
      <c r="K88" s="6"/>
      <c r="L88" s="6"/>
      <c r="M88" s="6"/>
      <c r="N88" s="6"/>
      <c r="O88" s="6"/>
      <c r="P88" s="6"/>
      <c r="Q88" s="6"/>
      <c r="R88" s="6"/>
      <c r="S88" s="6"/>
      <c r="T88" s="6"/>
      <c r="U88" s="97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97"/>
      <c r="K89" s="6"/>
      <c r="L89" s="6"/>
      <c r="M89" s="6"/>
      <c r="N89" s="6"/>
      <c r="O89" s="6"/>
      <c r="P89" s="6"/>
      <c r="Q89" s="6"/>
      <c r="R89" s="6"/>
      <c r="S89" s="6"/>
      <c r="T89" s="6"/>
      <c r="U89" s="97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97"/>
      <c r="K90" s="6"/>
      <c r="L90" s="6"/>
      <c r="M90" s="6"/>
      <c r="N90" s="6"/>
      <c r="O90" s="6"/>
      <c r="P90" s="6"/>
      <c r="Q90" s="6"/>
      <c r="R90" s="6"/>
      <c r="S90" s="6"/>
      <c r="T90" s="6"/>
      <c r="U90" s="97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97"/>
      <c r="K91" s="6"/>
      <c r="L91" s="6"/>
      <c r="M91" s="6"/>
      <c r="N91" s="6"/>
      <c r="O91" s="6"/>
      <c r="P91" s="6"/>
      <c r="Q91" s="6"/>
      <c r="R91" s="6"/>
      <c r="S91" s="6"/>
      <c r="T91" s="6"/>
      <c r="U91" s="97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97"/>
      <c r="K92" s="6"/>
      <c r="L92" s="6"/>
      <c r="M92" s="6"/>
      <c r="N92" s="6"/>
      <c r="O92" s="6"/>
      <c r="P92" s="6"/>
      <c r="Q92" s="6"/>
      <c r="R92" s="6"/>
      <c r="S92" s="6"/>
      <c r="T92" s="6"/>
      <c r="U92" s="97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97"/>
      <c r="K93" s="6"/>
      <c r="L93" s="6"/>
      <c r="M93" s="6"/>
      <c r="N93" s="6"/>
      <c r="O93" s="6"/>
      <c r="P93" s="6"/>
      <c r="Q93" s="6"/>
      <c r="R93" s="6"/>
      <c r="S93" s="6"/>
      <c r="T93" s="6"/>
      <c r="U93" s="97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97"/>
      <c r="K94" s="6"/>
      <c r="L94" s="6"/>
      <c r="M94" s="6"/>
      <c r="N94" s="6"/>
      <c r="O94" s="6"/>
      <c r="P94" s="6"/>
      <c r="Q94" s="6"/>
      <c r="R94" s="6"/>
      <c r="S94" s="6"/>
      <c r="T94" s="6"/>
      <c r="U94" s="97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97"/>
      <c r="K95" s="6"/>
      <c r="L95" s="6"/>
      <c r="M95" s="6"/>
      <c r="N95" s="6"/>
      <c r="O95" s="6"/>
      <c r="P95" s="6"/>
      <c r="Q95" s="6"/>
      <c r="R95" s="6"/>
      <c r="S95" s="6"/>
      <c r="T95" s="6"/>
      <c r="U95" s="97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97"/>
      <c r="K96" s="6"/>
      <c r="L96" s="6"/>
      <c r="M96" s="6"/>
      <c r="N96" s="6"/>
      <c r="O96" s="6"/>
      <c r="P96" s="6"/>
      <c r="Q96" s="6"/>
      <c r="R96" s="6"/>
      <c r="S96" s="6"/>
      <c r="T96" s="6"/>
      <c r="U96" s="97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97"/>
      <c r="K97" s="6"/>
      <c r="L97" s="6"/>
      <c r="M97" s="6"/>
      <c r="N97" s="6"/>
      <c r="O97" s="6"/>
      <c r="P97" s="6"/>
      <c r="Q97" s="6"/>
      <c r="R97" s="6"/>
      <c r="S97" s="6"/>
      <c r="T97" s="6"/>
      <c r="U97" s="97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97"/>
      <c r="K98" s="6"/>
      <c r="L98" s="6"/>
      <c r="M98" s="6"/>
      <c r="N98" s="6"/>
      <c r="O98" s="6"/>
      <c r="P98" s="6"/>
      <c r="Q98" s="6"/>
      <c r="R98" s="6"/>
      <c r="S98" s="6"/>
      <c r="T98" s="6"/>
      <c r="U98" s="97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97"/>
      <c r="K99" s="6"/>
      <c r="L99" s="6"/>
      <c r="M99" s="6"/>
      <c r="N99" s="6"/>
      <c r="O99" s="6"/>
      <c r="P99" s="6"/>
      <c r="Q99" s="6"/>
      <c r="R99" s="6"/>
      <c r="S99" s="6"/>
      <c r="T99" s="6"/>
      <c r="U99" s="97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97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97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97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97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97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97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97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97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97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97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97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97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97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97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97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97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97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97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97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97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97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97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97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97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97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97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97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97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97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97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97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97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97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97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97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97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97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97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97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97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97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97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97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97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97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97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97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97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97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97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97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97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97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97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97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97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97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97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97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97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97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97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97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97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97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97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97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97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97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97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97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97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97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97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97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97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97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97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97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97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97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97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97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97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97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97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97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97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97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97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97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97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97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97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97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97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97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97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97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97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97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97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97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97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97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97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97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97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97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97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97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97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97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97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97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97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97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97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97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97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97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97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97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97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97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97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97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97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97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97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97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97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97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97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97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97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97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97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97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97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97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97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97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97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97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97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97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97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97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97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97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97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97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97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97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97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97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97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97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97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97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97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97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97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97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97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97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97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97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97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97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97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97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97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97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97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97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97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97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97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97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97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97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97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97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97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97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97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97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97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97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97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97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97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97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97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97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97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97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97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97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97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97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97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97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97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97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97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97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97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97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97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97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97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97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97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97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97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97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97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97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97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97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97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97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97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97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97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97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97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97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97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97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97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97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97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97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97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97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97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97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97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97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97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97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97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97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97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97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97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97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97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97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97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97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97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97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97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97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97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97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97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97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97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97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97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97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97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97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97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97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97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97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97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97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97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97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97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97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97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97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97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97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97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97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97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97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97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97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97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97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97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97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97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97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97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97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97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97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97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97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97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97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97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97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97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97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97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97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97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97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97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97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97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97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97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97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97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97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97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97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97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97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97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97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97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97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97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97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97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97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97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97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97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97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97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97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97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97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97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97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97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97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97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97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97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97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97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97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97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97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97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97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97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97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97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97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97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97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97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97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97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97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97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97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97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97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97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97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97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97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97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97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97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97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97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97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97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97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97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97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97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97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97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97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97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97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97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97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97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97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97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97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97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97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97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97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97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97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97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97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97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97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97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97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97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97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97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97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97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97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97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97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97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97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97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97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97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97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97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97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97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97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97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97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9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97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97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97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97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97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97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97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97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97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97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97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97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97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97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97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97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97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97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97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97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97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97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97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97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97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97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97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97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97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97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97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97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97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97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97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97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97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97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97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97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97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97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97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97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97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97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97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97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97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97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97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97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97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97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97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97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97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97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97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97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97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97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97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97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97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97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97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97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97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97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97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97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97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97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97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97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97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97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97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97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97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97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97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97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97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97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97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97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97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97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97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97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97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97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97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97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97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97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97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97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97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97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97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97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97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97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97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97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97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97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97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97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97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97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97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97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97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97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97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97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97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97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97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97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97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97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97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97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97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97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97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97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97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97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97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97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97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97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97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97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97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97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97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97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97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97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97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97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97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97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97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97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97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97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97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97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97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97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97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97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97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97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97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97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97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97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97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97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97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97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97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97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97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97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97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97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97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97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97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97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97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97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97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97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97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97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97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97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97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97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97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97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97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97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97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97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97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97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97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97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97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97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97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97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97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97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97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97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97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97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97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97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97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97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97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97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97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97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97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97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97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97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97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97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97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97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97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97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97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97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97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97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97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97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97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97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97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97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97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97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97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97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97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97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97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97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97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97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97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97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97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97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97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97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97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97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97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97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97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97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97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97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97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97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97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97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97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97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97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97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97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97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97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97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97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97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97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97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97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97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97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97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97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97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97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97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97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97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97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97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97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97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97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97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97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97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97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97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97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97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97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97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97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97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97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97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97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97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97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97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97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97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97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97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97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97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97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97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97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97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97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97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97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97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97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97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97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97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97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97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97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97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97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97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97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97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97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97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97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97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97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97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97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97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97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97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97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97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97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97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97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97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97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97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97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97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97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97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97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97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97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97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97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97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97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97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97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97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97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97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97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97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97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97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97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97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97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97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97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97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97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97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97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97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97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97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97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97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97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97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97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97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97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97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97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97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97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97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97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97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97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97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97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97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97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97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97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97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97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97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97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97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97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97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97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97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97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97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97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97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97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97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97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97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97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97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97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97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97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97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97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97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97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97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97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97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97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97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97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97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97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97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97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97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97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97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97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97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97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97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97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97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97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97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97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97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97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97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97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97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97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97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97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97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97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97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97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97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97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97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97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97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97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97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97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97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97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97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97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97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97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97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97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97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97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97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97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97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97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97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97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97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97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97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97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97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97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97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97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97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97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97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97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97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97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97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97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97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97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97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97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97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97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97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97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97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97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97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97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97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97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97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97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97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97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97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97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97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97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97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97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97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97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97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97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97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97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97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97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97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97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97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97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97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97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97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97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97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97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97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97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97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97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97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97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97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97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97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97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97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97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97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97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97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97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97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97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97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97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97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97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97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97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97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97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97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97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97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97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97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97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97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97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97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97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97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97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97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97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97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97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97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97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97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97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97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97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97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97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97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97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97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97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97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97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97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97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97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97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97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97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97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97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97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97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97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97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97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97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97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97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97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97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97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97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97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97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97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97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97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97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97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97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97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97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97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97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97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97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97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97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97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97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97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97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97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97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97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97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97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97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97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97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97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97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97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97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97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97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97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97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97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97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97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97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97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97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97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97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97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97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97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97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97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97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97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97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97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97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97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97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97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97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97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97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97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97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97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97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97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97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97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97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97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97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97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97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97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97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97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97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97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97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97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97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97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97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97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97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97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97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97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97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97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97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97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97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97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97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97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97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97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97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97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97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97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97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97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97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97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97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97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97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97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97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97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97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97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97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97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97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97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97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97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97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97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97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97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97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97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97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97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97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97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97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97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97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97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97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97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97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97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97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97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97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97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97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97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97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97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97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97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97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97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97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97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97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97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97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97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97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97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97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97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97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97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97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97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97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97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97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97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97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97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97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97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97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97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97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97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97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97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97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97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97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97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97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97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97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97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97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97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97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97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97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97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97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97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97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97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97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97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97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97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97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97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97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97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97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97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97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97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97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97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97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97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97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97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97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97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97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97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97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97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97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97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97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97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97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97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97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97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97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97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97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97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97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97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97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97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97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97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97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97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97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97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97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97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97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97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97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97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97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97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97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97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97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97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97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97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97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97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97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97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97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97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97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97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97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97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97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97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97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97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97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97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97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97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97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97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97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97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97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97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97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97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97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97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97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97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97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97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97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97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97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97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97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97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97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97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97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97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97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97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97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97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97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97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97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97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97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97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97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97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97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97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97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97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97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97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97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97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97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97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97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97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97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97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97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97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97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97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97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97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97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97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97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97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97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97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97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97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97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97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97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97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97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97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97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97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97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97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97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97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97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97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97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97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97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97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97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97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97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97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97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97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97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97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97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97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97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97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97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97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97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97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97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97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97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97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97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97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97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97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97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97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97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97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97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97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97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97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97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97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97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97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97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97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97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97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97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97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97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97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97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97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97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97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97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97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97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97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97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97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97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97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97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97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97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97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97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97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97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97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97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97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97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97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97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97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97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97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97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97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97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97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97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97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97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97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97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97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97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97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97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97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97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97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97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97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97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97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97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97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97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97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97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97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97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97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97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97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97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97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97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97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97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97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97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97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97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97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97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97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97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97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97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97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97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97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97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97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97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97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97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97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97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97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97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97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97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97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97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97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97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97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97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97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97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97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97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97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97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97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97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97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97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97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97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97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97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97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97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97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97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97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97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97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97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97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97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97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97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97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97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97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97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97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97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97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97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97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97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97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97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97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97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97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97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97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97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97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97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97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97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97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97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97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97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97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97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97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97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97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97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97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97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97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97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97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97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97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97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97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97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97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97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97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97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97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97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97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97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97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97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97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97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97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97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97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97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97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97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97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97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97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97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97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97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97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97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97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97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97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97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97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97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97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97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97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97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97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97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97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97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97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97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97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97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97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97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97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97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97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97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97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97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97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97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97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97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97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97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97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97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97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97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97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97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97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97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97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97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97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97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97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97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97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97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97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97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97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97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97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97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97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97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97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97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97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97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97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97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97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97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97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97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97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97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97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97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97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97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97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97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97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97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97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97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97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97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97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97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97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97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97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97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97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97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97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97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97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97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97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97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97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97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97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97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97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97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97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97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97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97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97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97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97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97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97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97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97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97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97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97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97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97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97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97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97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97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97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97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97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97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97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97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97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97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97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97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97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97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97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97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97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97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97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97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97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97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97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97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97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97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97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97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97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97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97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97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97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97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97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97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97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97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97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97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97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97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97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97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97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97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97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97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97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97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97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97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97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97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97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97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97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97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97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97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97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97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97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97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97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